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se usa" sheetId="1" state="visible" r:id="rId3"/>
    <sheet name="Pedidos" sheetId="2" state="visible" r:id="rId4"/>
    <sheet name="Gastos" sheetId="3" state="visible" r:id="rId5"/>
    <sheet name="Resumen" sheetId="4" state="visible" r:id="rId6"/>
    <sheet name="Catálogo" sheetId="5" state="visible" r:id="rId7"/>
    <sheet name="Listas" sheetId="6" state="visible" r:id="rId8"/>
  </sheets>
  <definedNames>
    <definedName function="false" hidden="true" localSheetId="2" name="_xlnm._FilterDatabase" vbProcedure="false">Gastos!$A$5:$I$505</definedName>
    <definedName function="false" hidden="true" localSheetId="1" name="_xlnm._FilterDatabase" vbProcedure="false">Pedidos!$A$5:$S$305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Lo que el cliente ya ha pagado (señal o pago completo). Si paga el resto, súmalo aquí.</t>
        </r>
      </text>
    </comment>
    <comment ref="S5" authorId="0">
      <text>
        <r>
          <rPr>
            <sz val="10"/>
            <rFont val="Arial"/>
            <family val="2"/>
          </rPr>
          <t xml:space="preserve">Año y mes de la FECHA DE ENTREGA. El Resumen cuenta cada pedido en el mes en que se entrega.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Déjalo vacío si aún no lo sabes. Suma lo que gastas en ingredientes para hacer UNA unidad (una tarta, una caja…).</t>
        </r>
      </text>
    </comment>
  </commentList>
</comments>
</file>

<file path=xl/sharedStrings.xml><?xml version="1.0" encoding="utf-8"?>
<sst xmlns="http://schemas.openxmlformats.org/spreadsheetml/2006/main" count="171" uniqueCount="139">
  <si>
    <t xml:space="preserve">El horno de Sara · Gestión de pedidos y finanzas</t>
  </si>
  <si>
    <t xml:space="preserve">Qué hace este Excel</t>
  </si>
  <si>
    <t xml:space="preserve">Lleva el control de los pedidos que llegan por WhatsApp (estado, cobros, entregas) y de los gastos, y calcula solo ventas, beneficio y pendientes de cobro.</t>
  </si>
  <si>
    <t xml:space="preserve">Cómo usarlo, paso a paso</t>
  </si>
  <si>
    <t xml:space="preserve">1. Catálogo: revisa los precios (vienen de la web y son orientativos) y, si quieres ver márgenes, escribe el coste de ingredientes de cada producto.</t>
  </si>
  <si>
    <t xml:space="preserve">2. Pedidos: cuando llegue un encargo, añade una fila nueva debajo de la anterior. Rellena las celdas azules; precio, total y pendiente se calculan solos.</t>
  </si>
  <si>
    <t xml:space="preserve">3. Cuando el cliente pague (señal o total), apunta la cantidad en 'Cobrado'. Cambia el 'Estado' según avance (Confirmado → En preparación → Listo → Entregado).</t>
  </si>
  <si>
    <t xml:space="preserve">4. Gastos: apunta cada compra (ingredientes, cajas, gasolina…) con su categoría e importe.</t>
  </si>
  <si>
    <t xml:space="preserve">5. Resumen: elige el año arriba y verás mes a mes ventas, cobrado, pendiente, gastos y resultado, más ventas por producto y gastos por categoría.</t>
  </si>
  <si>
    <t xml:space="preserve">Leyenda de colores</t>
  </si>
  <si>
    <t xml:space="preserve">Texto azul = lo escribes tú.   Fondo gris = fórmula automática, no la borres.   Importe pendiente en rojo = falta por cobrar.</t>
  </si>
  <si>
    <t xml:space="preserve">Cómo se cuenta cada cosa (supuestos)</t>
  </si>
  <si>
    <t xml:space="preserve">• Cada pedido se asigna al mes de su FECHA DE ENTREGA (columna Año/Mes de Pedidos), no al mes en que se hizo.</t>
  </si>
  <si>
    <t xml:space="preserve">• Los pedidos con Estado 'Cancelado' no cuentan en ventas, cobrado ni pendiente (si te quedas una señal, ponla como ingreso aparte o no marques cancelado).</t>
  </si>
  <si>
    <t xml:space="preserve">• Resultado = Ventas − Gastos (lo vendido, aunque no esté cobrado). Caja = Cobrado − Gastos (el dinero que realmente ha entrado).</t>
  </si>
  <si>
    <t xml:space="preserve">• Los gastos reales vienen de la hoja Gastos. El 'coste estimado' del catálogo es solo orientativo para ver márgenes; no se resta dos veces.</t>
  </si>
  <si>
    <t xml:space="preserve">• No incluye IVA, IRPF ni cuota de autónomos: si los pagas, apúntalos en Gastos (categoría 'Impuestos y autónomos'). Consulta con tu gestor cómo declarar los ingresos.</t>
  </si>
  <si>
    <t xml:space="preserve">• Capacidad: 300 pedidos (filas 6–305 de Pedidos) y 500 gastos. Para más, copia hacia abajo la última fila.</t>
  </si>
  <si>
    <t xml:space="preserve">Ejemplos incluidos</t>
  </si>
  <si>
    <t xml:space="preserve">La primera fila de Pedidos y de Gastos son EJEMPLOS (año 2026). Bórralos (solo las celdas azules, no las grises) antes de empezar con datos reales.</t>
  </si>
  <si>
    <t xml:space="preserve">Privacidad</t>
  </si>
  <si>
    <t xml:space="preserve">Cuando tengas datos de clientes (nombres, teléfonos), no subas este archivo a un repositorio público.</t>
  </si>
  <si>
    <t xml:space="preserve">Pedidos</t>
  </si>
  <si>
    <t xml:space="preserve">Una fila por pedido. Celdas azules = las rellenas tú; celdas grises = se calculan solas (no las toques).</t>
  </si>
  <si>
    <t xml:space="preserve">Nº</t>
  </si>
  <si>
    <t xml:space="preserve">Fecha del pedido</t>
  </si>
  <si>
    <t xml:space="preserve">Cliente</t>
  </si>
  <si>
    <t xml:space="preserve">Teléfono</t>
  </si>
  <si>
    <t xml:space="preserve">Producto y tamaño</t>
  </si>
  <si>
    <t xml:space="preserve">Cantidad</t>
  </si>
  <si>
    <t xml:space="preserve">Precio unidad (€)</t>
  </si>
  <si>
    <t xml:space="preserve">Total (€)</t>
  </si>
  <si>
    <t xml:space="preserve">Entrega</t>
  </si>
  <si>
    <t xml:space="preserve">Fecha de entrega</t>
  </si>
  <si>
    <t xml:space="preserve">Estado</t>
  </si>
  <si>
    <t xml:space="preserve">Forma de pago</t>
  </si>
  <si>
    <t xml:space="preserve">Cobrado (€)</t>
  </si>
  <si>
    <t xml:space="preserve">Pendiente de cobro (€)</t>
  </si>
  <si>
    <t xml:space="preserve">Coste estimado (€)</t>
  </si>
  <si>
    <t xml:space="preserve">Margen estimado (€)</t>
  </si>
  <si>
    <t xml:space="preserve">Notas</t>
  </si>
  <si>
    <t xml:space="preserve">Año</t>
  </si>
  <si>
    <t xml:space="preserve">Mes</t>
  </si>
  <si>
    <t xml:space="preserve">EJEMPLO – Marta López (borra esta fila)</t>
  </si>
  <si>
    <t xml:space="preserve">600123456</t>
  </si>
  <si>
    <t xml:space="preserve">Tarta de queso y pistacho – Grande (10–12 raciones)</t>
  </si>
  <si>
    <t xml:space="preserve">Recogida en Alcoy</t>
  </si>
  <si>
    <t xml:space="preserve">Confirmado</t>
  </si>
  <si>
    <t xml:space="preserve">Bizum</t>
  </si>
  <si>
    <t xml:space="preserve">Sin frutos secos extra. Cumpleaños.</t>
  </si>
  <si>
    <t xml:space="preserve">Gastos</t>
  </si>
  <si>
    <t xml:space="preserve">Una fila por compra o gasto real (ticket o factura). Celdas azules = las rellenas tú.</t>
  </si>
  <si>
    <t xml:space="preserve">Fecha</t>
  </si>
  <si>
    <t xml:space="preserve">Categoría</t>
  </si>
  <si>
    <t xml:space="preserve">Concepto</t>
  </si>
  <si>
    <t xml:space="preserve">Proveedor / tienda</t>
  </si>
  <si>
    <t xml:space="preserve">Importe (€)</t>
  </si>
  <si>
    <t xml:space="preserve">Ingredientes</t>
  </si>
  <si>
    <t xml:space="preserve">EJEMPLO – Queso crema, nata y huevos (borra esta fila)</t>
  </si>
  <si>
    <t xml:space="preserve">Mercadona</t>
  </si>
  <si>
    <t xml:space="preserve">Efectivo</t>
  </si>
  <si>
    <t xml:space="preserve">Para 3 tartas de queso</t>
  </si>
  <si>
    <t xml:space="preserve">Resumen financiero</t>
  </si>
  <si>
    <t xml:space="preserve">Año a mostrar:</t>
  </si>
  <si>
    <t xml:space="preserve">← cambia el año y todo se recalcula</t>
  </si>
  <si>
    <t xml:space="preserve">Ventas (€)</t>
  </si>
  <si>
    <t xml:space="preserve">Gastos (€)</t>
  </si>
  <si>
    <t xml:space="preserve">Resultado (ventas − gastos)</t>
  </si>
  <si>
    <t xml:space="preserve">Caja (cobrado − gastos)</t>
  </si>
  <si>
    <t xml:space="preserve">Margen sobre ventas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</si>
  <si>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</si>
  <si>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</si>
  <si>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</si>
  <si>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</si>
  <si>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</si>
  <si>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</si>
  <si>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</si>
  <si>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</si>
  <si>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</si>
  <si>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</si>
  <si>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</si>
  <si>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</si>
  <si>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</si>
  <si>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Indicadores</t>
  </si>
  <si>
    <t xml:space="preserve">Ticket medio por pedido (€)</t>
  </si>
  <si>
    <t xml:space="preserve">Pendiente de cobro, todos los años (€)</t>
  </si>
  <si>
    <t xml:space="preserve">Pedidos sin entregar (confirmados, en preparación o listos)</t>
  </si>
  <si>
    <t xml:space="preserve">Pedidos por confirmar</t>
  </si>
  <si>
    <t xml:space="preserve">Pedidos cancelados (año)</t>
  </si>
  <si>
    <t xml:space="preserve">Coste estimado de ingredientes según catálogo (€)</t>
  </si>
  <si>
    <t xml:space="preserve">Gastos en ingredientes realmente comprados (€)</t>
  </si>
  <si>
    <t xml:space="preserve">Ventas por producto (año seleccionado)</t>
  </si>
  <si>
    <t xml:space="preserve">Unidades</t>
  </si>
  <si>
    <t xml:space="preserve">% de las ventas</t>
  </si>
  <si>
    <t xml:space="preserve">Gastos por categoría (año seleccionado)</t>
  </si>
  <si>
    <t xml:space="preserve">% de los gastos</t>
  </si>
  <si>
    <t xml:space="preserve">Gastos sin categoría</t>
  </si>
  <si>
    <t xml:space="preserve">Catálogo de productos y precios</t>
  </si>
  <si>
    <t xml:space="preserve">Precios copiados de la web (js/main.js, son orientativos). Rellena el coste de ingredientes por unidad para ver el margen.</t>
  </si>
  <si>
    <t xml:space="preserve">Producto</t>
  </si>
  <si>
    <t xml:space="preserve">Tamaño / formato</t>
  </si>
  <si>
    <t xml:space="preserve">Clave (se usa en Pedidos)</t>
  </si>
  <si>
    <t xml:space="preserve">Precio de venta (€)</t>
  </si>
  <si>
    <t xml:space="preserve">Coste ingredientes por unidad (€)</t>
  </si>
  <si>
    <t xml:space="preserve">Margen (€)</t>
  </si>
  <si>
    <t xml:space="preserve">Margen (%)</t>
  </si>
  <si>
    <t xml:space="preserve">Añade productos nuevos en las filas vacías de abajo (hasta la fila 34).</t>
  </si>
  <si>
    <t xml:space="preserve">Tarta de queso y pistacho</t>
  </si>
  <si>
    <t xml:space="preserve">Pequeña (6–8 raciones)</t>
  </si>
  <si>
    <t xml:space="preserve">Grande (10–12 raciones)</t>
  </si>
  <si>
    <t xml:space="preserve">Tarta de queso al horno</t>
  </si>
  <si>
    <t xml:space="preserve">Tarta de chocolate</t>
  </si>
  <si>
    <t xml:space="preserve">Corona de chocolate</t>
  </si>
  <si>
    <t xml:space="preserve">Entera (10–12 raciones)</t>
  </si>
  <si>
    <t xml:space="preserve">Banoffee</t>
  </si>
  <si>
    <t xml:space="preserve">Entera (8 raciones)</t>
  </si>
  <si>
    <t xml:space="preserve">Porción individual</t>
  </si>
  <si>
    <t xml:space="preserve">Tarta holandesa</t>
  </si>
  <si>
    <t xml:space="preserve">Cookies con trozos</t>
  </si>
  <si>
    <t xml:space="preserve">Caja de 4</t>
  </si>
  <si>
    <t xml:space="preserve">Caja de 6</t>
  </si>
  <si>
    <t xml:space="preserve">Listas desplegables</t>
  </si>
  <si>
    <t xml:space="preserve">Puedes añadir o cambiar opciones; las listas de las otras hojas las leen de aquí.</t>
  </si>
  <si>
    <t xml:space="preserve">Estado del pedido</t>
  </si>
  <si>
    <t xml:space="preserve">Categoría de gasto</t>
  </si>
  <si>
    <t xml:space="preserve">Pendiente de confirmar</t>
  </si>
  <si>
    <t xml:space="preserve">Entrega a domicilio en Alcoy</t>
  </si>
  <si>
    <t xml:space="preserve">Envases y embalaje</t>
  </si>
  <si>
    <t xml:space="preserve">En preparación</t>
  </si>
  <si>
    <t xml:space="preserve">Transferencia</t>
  </si>
  <si>
    <t xml:space="preserve">Material y utensilios</t>
  </si>
  <si>
    <t xml:space="preserve">Listo</t>
  </si>
  <si>
    <t xml:space="preserve">Marketing y fotos</t>
  </si>
  <si>
    <t xml:space="preserve">Entregado</t>
  </si>
  <si>
    <t xml:space="preserve">Transporte y gasolina</t>
  </si>
  <si>
    <t xml:space="preserve">Cancelado</t>
  </si>
  <si>
    <t xml:space="preserve">Comisiones y cuotas</t>
  </si>
  <si>
    <t xml:space="preserve">Impuestos y autónomos</t>
  </si>
  <si>
    <t xml:space="preserve">Otros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</si>
</sst>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dd/mm/yyyy"/>
    <numFmt numFmtId="167" formatCode="#,##0.00&quot; €&quot;;[RED]\-#,##0.00&quot; €&quot;;\-"/>
    <numFmt numFmtId="168" formatCode="0"/>
    <numFmt numFmtId="169" formatCode="0.0%;[RED]\-0.0%;\-"/>
    <numFmt numFmtId="170" formatCode="0;\-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3A2E"/>
      <name val="Arial"/>
      <family val="0"/>
      <charset val="1"/>
    </font>
    <font>
      <b val="true"/>
      <sz val="12"/>
      <color rgb="FF5A3A2E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A3A2E"/>
        <bgColor rgb="FF333300"/>
      </patternFill>
    </fill>
    <fill>
      <patternFill patternType="solid">
        <fgColor rgb="FFEFEFEF"/>
        <bgColor rgb="FFFFF9DB"/>
      </patternFill>
    </fill>
    <fill>
      <patternFill patternType="solid">
        <fgColor rgb="FFFFF9DB"/>
        <bgColor rgb="FFFFFFFF"/>
      </patternFill>
    </fill>
    <fill>
      <patternFill patternType="solid">
        <fgColor rgb="FFE8D5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5A3A2E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A9D08E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C0504D"/>
      <rgbColor rgb="FFFFF9DB"/>
      <rgbColor rgb="FFEFEFE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E8D5CC"/>
      <rgbColor rgb="FFE8A598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5A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y gastos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Resumen!D5</c:f>
              <c:strCache>
                <c:ptCount val="1"/>
                <c:pt idx="0">
                  <c:v>Ventas (€)</c:v>
                </c:pt>
              </c:strCache>
            </c:strRef>
          </c:tx>
          <c:spPr>
            <a:solidFill>
              <a:srgbClr val="5a3a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Resumen!$D$6:$D$17</c:f>
              <c:numCache>
                <c:formatCode>#,##0.00" €";[RED]\-#,##0.00"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Resumen!G5</c:f>
              <c:strCache>
                <c:ptCount val="1"/>
                <c:pt idx="0">
                  <c:v>Gastos (€)</c:v>
                </c:pt>
              </c:strCache>
            </c:strRef>
          </c:tx>
          <c:spPr>
            <a:solidFill>
              <a:srgbClr val="e8a59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Resumen!$G$6:$G$17</c:f>
              <c:numCache>
                <c:formatCode>#,##0.00" €";[RED]\-#,##0.00" €";\-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2699937"/>
        <c:axId val="36074165"/>
      </c:barChart>
      <c:catAx>
        <c:axId val="626999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74165"/>
        <c:crosses val="autoZero"/>
        <c:auto val="1"/>
        <c:lblAlgn val="ctr"/>
        <c:lblOffset val="100"/>
        <c:noMultiLvlLbl val="0"/>
      </c:catAx>
      <c:valAx>
        <c:axId val="36074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[RED]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99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131040</xdr:rowOff>
    </xdr:from>
    <xdr:to>
      <xdr:col>21</xdr:col>
      <xdr:colOff>364680</xdr:colOff>
      <xdr:row>17</xdr:row>
      <xdr:rowOff>133920</xdr:rowOff>
    </xdr:to>
    <xdr:graphicFrame>
      <xdr:nvGraphicFramePr>
        <xdr:cNvPr id="0" name="Chart 1"/>
        <xdr:cNvGraphicFramePr/>
      </xdr:nvGraphicFramePr>
      <xdr:xfrm>
        <a:off x="1111392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3" t="s">
        <v>4</v>
      </c>
    </row>
    <row r="8" customFormat="false" ht="23.8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23.8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2" t="s">
        <v>18</v>
      </c>
    </row>
    <row r="25" customFormat="false" ht="23.8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S3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6" min="15" style="0" width="14"/>
    <col collapsed="false" customWidth="true" hidden="false" outlineLevel="0" max="17" min="17" style="0" width="36"/>
    <col collapsed="false" customWidth="true" hidden="false" outlineLevel="0" max="18" min="18" style="0" width="7"/>
    <col collapsed="false" customWidth="true" hidden="false" outlineLevel="0" max="19" min="19" style="0" width="6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4" t="s">
        <v>23</v>
      </c>
    </row>
    <row r="5" customFormat="false" ht="31.5" hidden="false" customHeight="true" outlineLevel="0" collapsed="false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5" t="s">
        <v>42</v>
      </c>
    </row>
    <row r="6" customFormat="false" ht="15" hidden="false" customHeight="false" outlineLevel="0" collapsed="false">
      <c r="A6" s="6" t="n">
        <f aca="false">IF(C6="","",ROW()-5)</f>
        <v>1</v>
      </c>
      <c r="B6" s="7" t="n">
        <v>46307</v>
      </c>
      <c r="C6" s="8" t="s">
        <v>43</v>
      </c>
      <c r="D6" s="8" t="s">
        <v>44</v>
      </c>
      <c r="E6" s="8" t="s">
        <v>45</v>
      </c>
      <c r="F6" s="9" t="n">
        <v>2</v>
      </c>
      <c r="G6" s="10" t="n">
        <f aca="false">IF(E6="","",IFERROR(INDEX(Catálogo!$D$5:$D$34,MATCH(E6,Catálogo!$C$5:$C$34,0)),""))</f>
        <v>34</v>
      </c>
      <c r="H6" s="10" t="n">
        <f aca="false">IF(OR(F6="",G6=""),"",F6*G6)</f>
        <v>68</v>
      </c>
      <c r="I6" s="8" t="s">
        <v>46</v>
      </c>
      <c r="J6" s="7" t="n">
        <v>46315</v>
      </c>
      <c r="K6" s="8" t="s">
        <v>47</v>
      </c>
      <c r="L6" s="8" t="s">
        <v>48</v>
      </c>
      <c r="M6" s="11" t="n">
        <v>34</v>
      </c>
      <c r="N6" s="10" t="n">
        <f aca="false">IF(H6="","",IF(K6="Cancelado",0,H6-M6))</f>
        <v>34</v>
      </c>
      <c r="O6" s="10" t="str">
        <f aca="false">IF(OR(F6="",E6=""),"",IFERROR(IF(INDEX(Catálogo!$E$5:$E$34,MATCH(E6,Catálogo!$C$5:$C$34,0))=0,"",F6*INDEX(Catálogo!$E$5:$E$34,MATCH(E6,Catálogo!$C$5:$C$34,0))),""))</f>
        <v/>
      </c>
      <c r="P6" s="10" t="str">
        <f aca="false">IF(OR(H6="",O6=""),"",H6-O6)</f>
        <v/>
      </c>
      <c r="Q6" s="8" t="s">
        <v>49</v>
      </c>
      <c r="R6" s="6" t="n">
        <f aca="false">IF(J6="","",YEAR(J6))</f>
        <v>2026</v>
      </c>
      <c r="S6" s="6" t="n">
        <f aca="false">IF(J6="","",MONTH(J6))</f>
        <v>10</v>
      </c>
    </row>
    <row r="7" customFormat="false" ht="15" hidden="false" customHeight="false" outlineLevel="0" collapsed="false">
      <c r="A7" s="6" t="str">
        <f aca="false">IF(C7="","",ROW()-5)</f>
        <v/>
      </c>
      <c r="B7" s="7"/>
      <c r="C7" s="8"/>
      <c r="D7" s="8"/>
      <c r="E7" s="8"/>
      <c r="F7" s="9"/>
      <c r="G7" s="10" t="str">
        <f aca="false">IF(E7="","",IFERROR(INDEX(Catálogo!$D$5:$D$34,MATCH(E7,Catálogo!$C$5:$C$34,0)),""))</f>
        <v/>
      </c>
      <c r="H7" s="10" t="str">
        <f aca="false">IF(OR(F7="",G7=""),"",F7*G7)</f>
        <v/>
      </c>
      <c r="I7" s="8"/>
      <c r="J7" s="7"/>
      <c r="K7" s="8"/>
      <c r="L7" s="8"/>
      <c r="M7" s="11"/>
      <c r="N7" s="10" t="str">
        <f aca="false">IF(H7="","",IF(K7="Cancelado",0,H7-M7))</f>
        <v/>
      </c>
      <c r="O7" s="10" t="str">
        <f aca="false">IF(OR(F7="",E7=""),"",IFERROR(IF(INDEX(Catálogo!$E$5:$E$34,MATCH(E7,Catálogo!$C$5:$C$34,0))=0,"",F7*INDEX(Catálogo!$E$5:$E$34,MATCH(E7,Catálogo!$C$5:$C$34,0))),""))</f>
        <v/>
      </c>
      <c r="P7" s="10" t="str">
        <f aca="false">IF(OR(H7="",O7=""),"",H7-O7)</f>
        <v/>
      </c>
      <c r="Q7" s="8"/>
      <c r="R7" s="6" t="str">
        <f aca="false">IF(J7="","",YEAR(J7))</f>
        <v/>
      </c>
      <c r="S7" s="6" t="str">
        <f aca="false">IF(J7="","",MONTH(J7))</f>
        <v/>
      </c>
    </row>
    <row r="8" customFormat="false" ht="15" hidden="false" customHeight="false" outlineLevel="0" collapsed="false">
      <c r="A8" s="6" t="str">
        <f aca="false">IF(C8="","",ROW()-5)</f>
        <v/>
      </c>
      <c r="B8" s="7"/>
      <c r="C8" s="8"/>
      <c r="D8" s="8"/>
      <c r="E8" s="8"/>
      <c r="F8" s="9"/>
      <c r="G8" s="10" t="str">
        <f aca="false">IF(E8="","",IFERROR(INDEX(Catálogo!$D$5:$D$34,MATCH(E8,Catálogo!$C$5:$C$34,0)),""))</f>
        <v/>
      </c>
      <c r="H8" s="10" t="str">
        <f aca="false">IF(OR(F8="",G8=""),"",F8*G8)</f>
        <v/>
      </c>
      <c r="I8" s="8"/>
      <c r="J8" s="7"/>
      <c r="K8" s="8"/>
      <c r="L8" s="8"/>
      <c r="M8" s="11"/>
      <c r="N8" s="10" t="str">
        <f aca="false">IF(H8="","",IF(K8="Cancelado",0,H8-M8))</f>
        <v/>
      </c>
      <c r="O8" s="10" t="str">
        <f aca="false">IF(OR(F8="",E8=""),"",IFERROR(IF(INDEX(Catálogo!$E$5:$E$34,MATCH(E8,Catálogo!$C$5:$C$34,0))=0,"",F8*INDEX(Catálogo!$E$5:$E$34,MATCH(E8,Catálogo!$C$5:$C$34,0))),""))</f>
        <v/>
      </c>
      <c r="P8" s="10" t="str">
        <f aca="false">IF(OR(H8="",O8=""),"",H8-O8)</f>
        <v/>
      </c>
      <c r="Q8" s="8"/>
      <c r="R8" s="6" t="str">
        <f aca="false">IF(J8="","",YEAR(J8))</f>
        <v/>
      </c>
      <c r="S8" s="6" t="str">
        <f aca="false">IF(J8="","",MONTH(J8))</f>
        <v/>
      </c>
    </row>
    <row r="9" customFormat="false" ht="15" hidden="false" customHeight="false" outlineLevel="0" collapsed="false">
      <c r="A9" s="6" t="str">
        <f aca="false">IF(C9="","",ROW()-5)</f>
        <v/>
      </c>
      <c r="B9" s="7"/>
      <c r="C9" s="8"/>
      <c r="D9" s="8"/>
      <c r="E9" s="8"/>
      <c r="F9" s="9"/>
      <c r="G9" s="10" t="str">
        <f aca="false">IF(E9="","",IFERROR(INDEX(Catálogo!$D$5:$D$34,MATCH(E9,Catálogo!$C$5:$C$34,0)),""))</f>
        <v/>
      </c>
      <c r="H9" s="10" t="str">
        <f aca="false">IF(OR(F9="",G9=""),"",F9*G9)</f>
        <v/>
      </c>
      <c r="I9" s="8"/>
      <c r="J9" s="7"/>
      <c r="K9" s="8"/>
      <c r="L9" s="8"/>
      <c r="M9" s="11"/>
      <c r="N9" s="10" t="str">
        <f aca="false">IF(H9="","",IF(K9="Cancelado",0,H9-M9))</f>
        <v/>
      </c>
      <c r="O9" s="10" t="str">
        <f aca="false">IF(OR(F9="",E9=""),"",IFERROR(IF(INDEX(Catálogo!$E$5:$E$34,MATCH(E9,Catálogo!$C$5:$C$34,0))=0,"",F9*INDEX(Catálogo!$E$5:$E$34,MATCH(E9,Catálogo!$C$5:$C$34,0))),""))</f>
        <v/>
      </c>
      <c r="P9" s="10" t="str">
        <f aca="false">IF(OR(H9="",O9=""),"",H9-O9)</f>
        <v/>
      </c>
      <c r="Q9" s="8"/>
      <c r="R9" s="6" t="str">
        <f aca="false">IF(J9="","",YEAR(J9))</f>
        <v/>
      </c>
      <c r="S9" s="6" t="str">
        <f aca="false">IF(J9="","",MONTH(J9))</f>
        <v/>
      </c>
    </row>
    <row r="10" customFormat="false" ht="15" hidden="false" customHeight="false" outlineLevel="0" collapsed="false">
      <c r="A10" s="6" t="str">
        <f aca="false">IF(C10="","",ROW()-5)</f>
        <v/>
      </c>
      <c r="B10" s="7"/>
      <c r="C10" s="8"/>
      <c r="D10" s="8"/>
      <c r="E10" s="8"/>
      <c r="F10" s="9"/>
      <c r="G10" s="10" t="str">
        <f aca="false">IF(E10="","",IFERROR(INDEX(Catálogo!$D$5:$D$34,MATCH(E10,Catálogo!$C$5:$C$34,0)),""))</f>
        <v/>
      </c>
      <c r="H10" s="10" t="str">
        <f aca="false">IF(OR(F10="",G10=""),"",F10*G10)</f>
        <v/>
      </c>
      <c r="I10" s="8"/>
      <c r="J10" s="7"/>
      <c r="K10" s="8"/>
      <c r="L10" s="8"/>
      <c r="M10" s="11"/>
      <c r="N10" s="10" t="str">
        <f aca="false">IF(H10="","",IF(K10="Cancelado",0,H10-M10))</f>
        <v/>
      </c>
      <c r="O10" s="10" t="str">
        <f aca="false">IF(OR(F10="",E10=""),"",IFERROR(IF(INDEX(Catálogo!$E$5:$E$34,MATCH(E10,Catálogo!$C$5:$C$34,0))=0,"",F10*INDEX(Catálogo!$E$5:$E$34,MATCH(E10,Catálogo!$C$5:$C$34,0))),""))</f>
        <v/>
      </c>
      <c r="P10" s="10" t="str">
        <f aca="false">IF(OR(H10="",O10=""),"",H10-O10)</f>
        <v/>
      </c>
      <c r="Q10" s="8"/>
      <c r="R10" s="6" t="str">
        <f aca="false">IF(J10="","",YEAR(J10))</f>
        <v/>
      </c>
      <c r="S10" s="6" t="str">
        <f aca="false">IF(J10="","",MONTH(J10))</f>
        <v/>
      </c>
    </row>
    <row r="11" customFormat="false" ht="15" hidden="false" customHeight="false" outlineLevel="0" collapsed="false">
      <c r="A11" s="6" t="str">
        <f aca="false">IF(C11="","",ROW()-5)</f>
        <v/>
      </c>
      <c r="B11" s="7"/>
      <c r="C11" s="8"/>
      <c r="D11" s="8"/>
      <c r="E11" s="8"/>
      <c r="F11" s="9"/>
      <c r="G11" s="10" t="str">
        <f aca="false">IF(E11="","",IFERROR(INDEX(Catálogo!$D$5:$D$34,MATCH(E11,Catálogo!$C$5:$C$34,0)),""))</f>
        <v/>
      </c>
      <c r="H11" s="10" t="str">
        <f aca="false">IF(OR(F11="",G11=""),"",F11*G11)</f>
        <v/>
      </c>
      <c r="I11" s="8"/>
      <c r="J11" s="7"/>
      <c r="K11" s="8"/>
      <c r="L11" s="8"/>
      <c r="M11" s="11"/>
      <c r="N11" s="10" t="str">
        <f aca="false">IF(H11="","",IF(K11="Cancelado",0,H11-M11))</f>
        <v/>
      </c>
      <c r="O11" s="10" t="str">
        <f aca="false">IF(OR(F11="",E11=""),"",IFERROR(IF(INDEX(Catálogo!$E$5:$E$34,MATCH(E11,Catálogo!$C$5:$C$34,0))=0,"",F11*INDEX(Catálogo!$E$5:$E$34,MATCH(E11,Catálogo!$C$5:$C$34,0))),""))</f>
        <v/>
      </c>
      <c r="P11" s="10" t="str">
        <f aca="false">IF(OR(H11="",O11=""),"",H11-O11)</f>
        <v/>
      </c>
      <c r="Q11" s="8"/>
      <c r="R11" s="6" t="str">
        <f aca="false">IF(J11="","",YEAR(J11))</f>
        <v/>
      </c>
      <c r="S11" s="6" t="str">
        <f aca="false">IF(J11="","",MONTH(J11))</f>
        <v/>
      </c>
    </row>
    <row r="12" customFormat="false" ht="15" hidden="false" customHeight="false" outlineLevel="0" collapsed="false">
      <c r="A12" s="6" t="str">
        <f aca="false">IF(C12="","",ROW()-5)</f>
        <v/>
      </c>
      <c r="B12" s="7"/>
      <c r="C12" s="8"/>
      <c r="D12" s="8"/>
      <c r="E12" s="8"/>
      <c r="F12" s="9"/>
      <c r="G12" s="10" t="str">
        <f aca="false">IF(E12="","",IFERROR(INDEX(Catálogo!$D$5:$D$34,MATCH(E12,Catálogo!$C$5:$C$34,0)),""))</f>
        <v/>
      </c>
      <c r="H12" s="10" t="str">
        <f aca="false">IF(OR(F12="",G12=""),"",F12*G12)</f>
        <v/>
      </c>
      <c r="I12" s="8"/>
      <c r="J12" s="7"/>
      <c r="K12" s="8"/>
      <c r="L12" s="8"/>
      <c r="M12" s="11"/>
      <c r="N12" s="10" t="str">
        <f aca="false">IF(H12="","",IF(K12="Cancelado",0,H12-M12))</f>
        <v/>
      </c>
      <c r="O12" s="10" t="str">
        <f aca="false">IF(OR(F12="",E12=""),"",IFERROR(IF(INDEX(Catálogo!$E$5:$E$34,MATCH(E12,Catálogo!$C$5:$C$34,0))=0,"",F12*INDEX(Catálogo!$E$5:$E$34,MATCH(E12,Catálogo!$C$5:$C$34,0))),""))</f>
        <v/>
      </c>
      <c r="P12" s="10" t="str">
        <f aca="false">IF(OR(H12="",O12=""),"",H12-O12)</f>
        <v/>
      </c>
      <c r="Q12" s="8"/>
      <c r="R12" s="6" t="str">
        <f aca="false">IF(J12="","",YEAR(J12))</f>
        <v/>
      </c>
      <c r="S12" s="6" t="str">
        <f aca="false">IF(J12="","",MONTH(J12))</f>
        <v/>
      </c>
    </row>
    <row r="13" customFormat="false" ht="15" hidden="false" customHeight="false" outlineLevel="0" collapsed="false">
      <c r="A13" s="6" t="str">
        <f aca="false">IF(C13="","",ROW()-5)</f>
        <v/>
      </c>
      <c r="B13" s="7"/>
      <c r="C13" s="8"/>
      <c r="D13" s="8"/>
      <c r="E13" s="8"/>
      <c r="F13" s="9"/>
      <c r="G13" s="10" t="str">
        <f aca="false">IF(E13="","",IFERROR(INDEX(Catálogo!$D$5:$D$34,MATCH(E13,Catálogo!$C$5:$C$34,0)),""))</f>
        <v/>
      </c>
      <c r="H13" s="10" t="str">
        <f aca="false">IF(OR(F13="",G13=""),"",F13*G13)</f>
        <v/>
      </c>
      <c r="I13" s="8"/>
      <c r="J13" s="7"/>
      <c r="K13" s="8"/>
      <c r="L13" s="8"/>
      <c r="M13" s="11"/>
      <c r="N13" s="10" t="str">
        <f aca="false">IF(H13="","",IF(K13="Cancelado",0,H13-M13))</f>
        <v/>
      </c>
      <c r="O13" s="10" t="str">
        <f aca="false">IF(OR(F13="",E13=""),"",IFERROR(IF(INDEX(Catálogo!$E$5:$E$34,MATCH(E13,Catálogo!$C$5:$C$34,0))=0,"",F13*INDEX(Catálogo!$E$5:$E$34,MATCH(E13,Catálogo!$C$5:$C$34,0))),""))</f>
        <v/>
      </c>
      <c r="P13" s="10" t="str">
        <f aca="false">IF(OR(H13="",O13=""),"",H13-O13)</f>
        <v/>
      </c>
      <c r="Q13" s="8"/>
      <c r="R13" s="6" t="str">
        <f aca="false">IF(J13="","",YEAR(J13))</f>
        <v/>
      </c>
      <c r="S13" s="6" t="str">
        <f aca="false">IF(J13="","",MONTH(J13))</f>
        <v/>
      </c>
    </row>
    <row r="14" customFormat="false" ht="15" hidden="false" customHeight="false" outlineLevel="0" collapsed="false">
      <c r="A14" s="6" t="str">
        <f aca="false">IF(C14="","",ROW()-5)</f>
        <v/>
      </c>
      <c r="B14" s="7"/>
      <c r="C14" s="8"/>
      <c r="D14" s="8"/>
      <c r="E14" s="8"/>
      <c r="F14" s="9"/>
      <c r="G14" s="10" t="str">
        <f aca="false">IF(E14="","",IFERROR(INDEX(Catálogo!$D$5:$D$34,MATCH(E14,Catálogo!$C$5:$C$34,0)),""))</f>
        <v/>
      </c>
      <c r="H14" s="10" t="str">
        <f aca="false">IF(OR(F14="",G14=""),"",F14*G14)</f>
        <v/>
      </c>
      <c r="I14" s="8"/>
      <c r="J14" s="7"/>
      <c r="K14" s="8"/>
      <c r="L14" s="8"/>
      <c r="M14" s="11"/>
      <c r="N14" s="10" t="str">
        <f aca="false">IF(H14="","",IF(K14="Cancelado",0,H14-M14))</f>
        <v/>
      </c>
      <c r="O14" s="10" t="str">
        <f aca="false">IF(OR(F14="",E14=""),"",IFERROR(IF(INDEX(Catálogo!$E$5:$E$34,MATCH(E14,Catálogo!$C$5:$C$34,0))=0,"",F14*INDEX(Catálogo!$E$5:$E$34,MATCH(E14,Catálogo!$C$5:$C$34,0))),""))</f>
        <v/>
      </c>
      <c r="P14" s="10" t="str">
        <f aca="false">IF(OR(H14="",O14=""),"",H14-O14)</f>
        <v/>
      </c>
      <c r="Q14" s="8"/>
      <c r="R14" s="6" t="str">
        <f aca="false">IF(J14="","",YEAR(J14))</f>
        <v/>
      </c>
      <c r="S14" s="6" t="str">
        <f aca="false">IF(J14="","",MONTH(J14))</f>
        <v/>
      </c>
    </row>
    <row r="15" customFormat="false" ht="15" hidden="false" customHeight="false" outlineLevel="0" collapsed="false">
      <c r="A15" s="6" t="str">
        <f aca="false">IF(C15="","",ROW()-5)</f>
        <v/>
      </c>
      <c r="B15" s="7"/>
      <c r="C15" s="8"/>
      <c r="D15" s="8"/>
      <c r="E15" s="8"/>
      <c r="F15" s="9"/>
      <c r="G15" s="10" t="str">
        <f aca="false">IF(E15="","",IFERROR(INDEX(Catálogo!$D$5:$D$34,MATCH(E15,Catálogo!$C$5:$C$34,0)),""))</f>
        <v/>
      </c>
      <c r="H15" s="10" t="str">
        <f aca="false">IF(OR(F15="",G15=""),"",F15*G15)</f>
        <v/>
      </c>
      <c r="I15" s="8"/>
      <c r="J15" s="7"/>
      <c r="K15" s="8"/>
      <c r="L15" s="8"/>
      <c r="M15" s="11"/>
      <c r="N15" s="10" t="str">
        <f aca="false">IF(H15="","",IF(K15="Cancelado",0,H15-M15))</f>
        <v/>
      </c>
      <c r="O15" s="10" t="str">
        <f aca="false">IF(OR(F15="",E15=""),"",IFERROR(IF(INDEX(Catálogo!$E$5:$E$34,MATCH(E15,Catálogo!$C$5:$C$34,0))=0,"",F15*INDEX(Catálogo!$E$5:$E$34,MATCH(E15,Catálogo!$C$5:$C$34,0))),""))</f>
        <v/>
      </c>
      <c r="P15" s="10" t="str">
        <f aca="false">IF(OR(H15="",O15=""),"",H15-O15)</f>
        <v/>
      </c>
      <c r="Q15" s="8"/>
      <c r="R15" s="6" t="str">
        <f aca="false">IF(J15="","",YEAR(J15))</f>
        <v/>
      </c>
      <c r="S15" s="6" t="str">
        <f aca="false">IF(J15="","",MONTH(J15))</f>
        <v/>
      </c>
    </row>
    <row r="16" customFormat="false" ht="15" hidden="false" customHeight="false" outlineLevel="0" collapsed="false">
      <c r="A16" s="6" t="str">
        <f aca="false">IF(C16="","",ROW()-5)</f>
        <v/>
      </c>
      <c r="B16" s="7"/>
      <c r="C16" s="8"/>
      <c r="D16" s="8"/>
      <c r="E16" s="8"/>
      <c r="F16" s="9"/>
      <c r="G16" s="10" t="str">
        <f aca="false">IF(E16="","",IFERROR(INDEX(Catálogo!$D$5:$D$34,MATCH(E16,Catálogo!$C$5:$C$34,0)),""))</f>
        <v/>
      </c>
      <c r="H16" s="10" t="str">
        <f aca="false">IF(OR(F16="",G16=""),"",F16*G16)</f>
        <v/>
      </c>
      <c r="I16" s="8"/>
      <c r="J16" s="7"/>
      <c r="K16" s="8"/>
      <c r="L16" s="8"/>
      <c r="M16" s="11"/>
      <c r="N16" s="10" t="str">
        <f aca="false">IF(H16="","",IF(K16="Cancelado",0,H16-M16))</f>
        <v/>
      </c>
      <c r="O16" s="10" t="str">
        <f aca="false">IF(OR(F16="",E16=""),"",IFERROR(IF(INDEX(Catálogo!$E$5:$E$34,MATCH(E16,Catálogo!$C$5:$C$34,0))=0,"",F16*INDEX(Catálogo!$E$5:$E$34,MATCH(E16,Catálogo!$C$5:$C$34,0))),""))</f>
        <v/>
      </c>
      <c r="P16" s="10" t="str">
        <f aca="false">IF(OR(H16="",O16=""),"",H16-O16)</f>
        <v/>
      </c>
      <c r="Q16" s="8"/>
      <c r="R16" s="6" t="str">
        <f aca="false">IF(J16="","",YEAR(J16))</f>
        <v/>
      </c>
      <c r="S16" s="6" t="str">
        <f aca="false">IF(J16="","",MONTH(J16))</f>
        <v/>
      </c>
    </row>
    <row r="17" customFormat="false" ht="15" hidden="false" customHeight="false" outlineLevel="0" collapsed="false">
      <c r="A17" s="6" t="str">
        <f aca="false">IF(C17="","",ROW()-5)</f>
        <v/>
      </c>
      <c r="B17" s="7"/>
      <c r="C17" s="8"/>
      <c r="D17" s="8"/>
      <c r="E17" s="8"/>
      <c r="F17" s="9"/>
      <c r="G17" s="10" t="str">
        <f aca="false">IF(E17="","",IFERROR(INDEX(Catálogo!$D$5:$D$34,MATCH(E17,Catálogo!$C$5:$C$34,0)),""))</f>
        <v/>
      </c>
      <c r="H17" s="10" t="str">
        <f aca="false">IF(OR(F17="",G17=""),"",F17*G17)</f>
        <v/>
      </c>
      <c r="I17" s="8"/>
      <c r="J17" s="7"/>
      <c r="K17" s="8"/>
      <c r="L17" s="8"/>
      <c r="M17" s="11"/>
      <c r="N17" s="10" t="str">
        <f aca="false">IF(H17="","",IF(K17="Cancelado",0,H17-M17))</f>
        <v/>
      </c>
      <c r="O17" s="10" t="str">
        <f aca="false">IF(OR(F17="",E17=""),"",IFERROR(IF(INDEX(Catálogo!$E$5:$E$34,MATCH(E17,Catálogo!$C$5:$C$34,0))=0,"",F17*INDEX(Catálogo!$E$5:$E$34,MATCH(E17,Catálogo!$C$5:$C$34,0))),""))</f>
        <v/>
      </c>
      <c r="P17" s="10" t="str">
        <f aca="false">IF(OR(H17="",O17=""),"",H17-O17)</f>
        <v/>
      </c>
      <c r="Q17" s="8"/>
      <c r="R17" s="6" t="str">
        <f aca="false">IF(J17="","",YEAR(J17))</f>
        <v/>
      </c>
      <c r="S17" s="6" t="str">
        <f aca="false">IF(J17="","",MONTH(J17))</f>
        <v/>
      </c>
    </row>
    <row r="18" customFormat="false" ht="15" hidden="false" customHeight="false" outlineLevel="0" collapsed="false">
      <c r="A18" s="6" t="str">
        <f aca="false">IF(C18="","",ROW()-5)</f>
        <v/>
      </c>
      <c r="B18" s="7"/>
      <c r="C18" s="8"/>
      <c r="D18" s="8"/>
      <c r="E18" s="8"/>
      <c r="F18" s="9"/>
      <c r="G18" s="10" t="str">
        <f aca="false">IF(E18="","",IFERROR(INDEX(Catálogo!$D$5:$D$34,MATCH(E18,Catálogo!$C$5:$C$34,0)),""))</f>
        <v/>
      </c>
      <c r="H18" s="10" t="str">
        <f aca="false">IF(OR(F18="",G18=""),"",F18*G18)</f>
        <v/>
      </c>
      <c r="I18" s="8"/>
      <c r="J18" s="7"/>
      <c r="K18" s="8"/>
      <c r="L18" s="8"/>
      <c r="M18" s="11"/>
      <c r="N18" s="10" t="str">
        <f aca="false">IF(H18="","",IF(K18="Cancelado",0,H18-M18))</f>
        <v/>
      </c>
      <c r="O18" s="10" t="str">
        <f aca="false">IF(OR(F18="",E18=""),"",IFERROR(IF(INDEX(Catálogo!$E$5:$E$34,MATCH(E18,Catálogo!$C$5:$C$34,0))=0,"",F18*INDEX(Catálogo!$E$5:$E$34,MATCH(E18,Catálogo!$C$5:$C$34,0))),""))</f>
        <v/>
      </c>
      <c r="P18" s="10" t="str">
        <f aca="false">IF(OR(H18="",O18=""),"",H18-O18)</f>
        <v/>
      </c>
      <c r="Q18" s="8"/>
      <c r="R18" s="6" t="str">
        <f aca="false">IF(J18="","",YEAR(J18))</f>
        <v/>
      </c>
      <c r="S18" s="6" t="str">
        <f aca="false">IF(J18="","",MONTH(J18))</f>
        <v/>
      </c>
    </row>
    <row r="19" customFormat="false" ht="15" hidden="false" customHeight="false" outlineLevel="0" collapsed="false">
      <c r="A19" s="6" t="str">
        <f aca="false">IF(C19="","",ROW()-5)</f>
        <v/>
      </c>
      <c r="B19" s="7"/>
      <c r="C19" s="8"/>
      <c r="D19" s="8"/>
      <c r="E19" s="8"/>
      <c r="F19" s="9"/>
      <c r="G19" s="10" t="str">
        <f aca="false">IF(E19="","",IFERROR(INDEX(Catálogo!$D$5:$D$34,MATCH(E19,Catálogo!$C$5:$C$34,0)),""))</f>
        <v/>
      </c>
      <c r="H19" s="10" t="str">
        <f aca="false">IF(OR(F19="",G19=""),"",F19*G19)</f>
        <v/>
      </c>
      <c r="I19" s="8"/>
      <c r="J19" s="7"/>
      <c r="K19" s="8"/>
      <c r="L19" s="8"/>
      <c r="M19" s="11"/>
      <c r="N19" s="10" t="str">
        <f aca="false">IF(H19="","",IF(K19="Cancelado",0,H19-M19))</f>
        <v/>
      </c>
      <c r="O19" s="10" t="str">
        <f aca="false">IF(OR(F19="",E19=""),"",IFERROR(IF(INDEX(Catálogo!$E$5:$E$34,MATCH(E19,Catálogo!$C$5:$C$34,0))=0,"",F19*INDEX(Catálogo!$E$5:$E$34,MATCH(E19,Catálogo!$C$5:$C$34,0))),""))</f>
        <v/>
      </c>
      <c r="P19" s="10" t="str">
        <f aca="false">IF(OR(H19="",O19=""),"",H19-O19)</f>
        <v/>
      </c>
      <c r="Q19" s="8"/>
      <c r="R19" s="6" t="str">
        <f aca="false">IF(J19="","",YEAR(J19))</f>
        <v/>
      </c>
      <c r="S19" s="6" t="str">
        <f aca="false">IF(J19="","",MONTH(J19))</f>
        <v/>
      </c>
    </row>
    <row r="20" customFormat="false" ht="15" hidden="false" customHeight="false" outlineLevel="0" collapsed="false">
      <c r="A20" s="6" t="str">
        <f aca="false">IF(C20="","",ROW()-5)</f>
        <v/>
      </c>
      <c r="B20" s="7"/>
      <c r="C20" s="8"/>
      <c r="D20" s="8"/>
      <c r="E20" s="8"/>
      <c r="F20" s="9"/>
      <c r="G20" s="10" t="str">
        <f aca="false">IF(E20="","",IFERROR(INDEX(Catálogo!$D$5:$D$34,MATCH(E20,Catálogo!$C$5:$C$34,0)),""))</f>
        <v/>
      </c>
      <c r="H20" s="10" t="str">
        <f aca="false">IF(OR(F20="",G20=""),"",F20*G20)</f>
        <v/>
      </c>
      <c r="I20" s="8"/>
      <c r="J20" s="7"/>
      <c r="K20" s="8"/>
      <c r="L20" s="8"/>
      <c r="M20" s="11"/>
      <c r="N20" s="10" t="str">
        <f aca="false">IF(H20="","",IF(K20="Cancelado",0,H20-M20))</f>
        <v/>
      </c>
      <c r="O20" s="10" t="str">
        <f aca="false">IF(OR(F20="",E20=""),"",IFERROR(IF(INDEX(Catálogo!$E$5:$E$34,MATCH(E20,Catálogo!$C$5:$C$34,0))=0,"",F20*INDEX(Catálogo!$E$5:$E$34,MATCH(E20,Catálogo!$C$5:$C$34,0))),""))</f>
        <v/>
      </c>
      <c r="P20" s="10" t="str">
        <f aca="false">IF(OR(H20="",O20=""),"",H20-O20)</f>
        <v/>
      </c>
      <c r="Q20" s="8"/>
      <c r="R20" s="6" t="str">
        <f aca="false">IF(J20="","",YEAR(J20))</f>
        <v/>
      </c>
      <c r="S20" s="6" t="str">
        <f aca="false">IF(J20="","",MONTH(J20))</f>
        <v/>
      </c>
    </row>
    <row r="21" customFormat="false" ht="15" hidden="false" customHeight="false" outlineLevel="0" collapsed="false">
      <c r="A21" s="6" t="str">
        <f aca="false">IF(C21="","",ROW()-5)</f>
        <v/>
      </c>
      <c r="B21" s="7"/>
      <c r="C21" s="8"/>
      <c r="D21" s="8"/>
      <c r="E21" s="8"/>
      <c r="F21" s="9"/>
      <c r="G21" s="10" t="str">
        <f aca="false">IF(E21="","",IFERROR(INDEX(Catálogo!$D$5:$D$34,MATCH(E21,Catálogo!$C$5:$C$34,0)),""))</f>
        <v/>
      </c>
      <c r="H21" s="10" t="str">
        <f aca="false">IF(OR(F21="",G21=""),"",F21*G21)</f>
        <v/>
      </c>
      <c r="I21" s="8"/>
      <c r="J21" s="7"/>
      <c r="K21" s="8"/>
      <c r="L21" s="8"/>
      <c r="M21" s="11"/>
      <c r="N21" s="10" t="str">
        <f aca="false">IF(H21="","",IF(K21="Cancelado",0,H21-M21))</f>
        <v/>
      </c>
      <c r="O21" s="10" t="str">
        <f aca="false">IF(OR(F21="",E21=""),"",IFERROR(IF(INDEX(Catálogo!$E$5:$E$34,MATCH(E21,Catálogo!$C$5:$C$34,0))=0,"",F21*INDEX(Catálogo!$E$5:$E$34,MATCH(E21,Catálogo!$C$5:$C$34,0))),""))</f>
        <v/>
      </c>
      <c r="P21" s="10" t="str">
        <f aca="false">IF(OR(H21="",O21=""),"",H21-O21)</f>
        <v/>
      </c>
      <c r="Q21" s="8"/>
      <c r="R21" s="6" t="str">
        <f aca="false">IF(J21="","",YEAR(J21))</f>
        <v/>
      </c>
      <c r="S21" s="6" t="str">
        <f aca="false">IF(J21="","",MONTH(J21))</f>
        <v/>
      </c>
    </row>
    <row r="22" customFormat="false" ht="15" hidden="false" customHeight="false" outlineLevel="0" collapsed="false">
      <c r="A22" s="6" t="str">
        <f aca="false">IF(C22="","",ROW()-5)</f>
        <v/>
      </c>
      <c r="B22" s="7"/>
      <c r="C22" s="8"/>
      <c r="D22" s="8"/>
      <c r="E22" s="8"/>
      <c r="F22" s="9"/>
      <c r="G22" s="10" t="str">
        <f aca="false">IF(E22="","",IFERROR(INDEX(Catálogo!$D$5:$D$34,MATCH(E22,Catálogo!$C$5:$C$34,0)),""))</f>
        <v/>
      </c>
      <c r="H22" s="10" t="str">
        <f aca="false">IF(OR(F22="",G22=""),"",F22*G22)</f>
        <v/>
      </c>
      <c r="I22" s="8"/>
      <c r="J22" s="7"/>
      <c r="K22" s="8"/>
      <c r="L22" s="8"/>
      <c r="M22" s="11"/>
      <c r="N22" s="10" t="str">
        <f aca="false">IF(H22="","",IF(K22="Cancelado",0,H22-M22))</f>
        <v/>
      </c>
      <c r="O22" s="10" t="str">
        <f aca="false">IF(OR(F22="",E22=""),"",IFERROR(IF(INDEX(Catálogo!$E$5:$E$34,MATCH(E22,Catálogo!$C$5:$C$34,0))=0,"",F22*INDEX(Catálogo!$E$5:$E$34,MATCH(E22,Catálogo!$C$5:$C$34,0))),""))</f>
        <v/>
      </c>
      <c r="P22" s="10" t="str">
        <f aca="false">IF(OR(H22="",O22=""),"",H22-O22)</f>
        <v/>
      </c>
      <c r="Q22" s="8"/>
      <c r="R22" s="6" t="str">
        <f aca="false">IF(J22="","",YEAR(J22))</f>
        <v/>
      </c>
      <c r="S22" s="6" t="str">
        <f aca="false">IF(J22="","",MONTH(J22))</f>
        <v/>
      </c>
    </row>
    <row r="23" customFormat="false" ht="15" hidden="false" customHeight="false" outlineLevel="0" collapsed="false">
      <c r="A23" s="6" t="str">
        <f aca="false">IF(C23="","",ROW()-5)</f>
        <v/>
      </c>
      <c r="B23" s="7"/>
      <c r="C23" s="8"/>
      <c r="D23" s="8"/>
      <c r="E23" s="8"/>
      <c r="F23" s="9"/>
      <c r="G23" s="10" t="str">
        <f aca="false">IF(E23="","",IFERROR(INDEX(Catálogo!$D$5:$D$34,MATCH(E23,Catálogo!$C$5:$C$34,0)),""))</f>
        <v/>
      </c>
      <c r="H23" s="10" t="str">
        <f aca="false">IF(OR(F23="",G23=""),"",F23*G23)</f>
        <v/>
      </c>
      <c r="I23" s="8"/>
      <c r="J23" s="7"/>
      <c r="K23" s="8"/>
      <c r="L23" s="8"/>
      <c r="M23" s="11"/>
      <c r="N23" s="10" t="str">
        <f aca="false">IF(H23="","",IF(K23="Cancelado",0,H23-M23))</f>
        <v/>
      </c>
      <c r="O23" s="10" t="str">
        <f aca="false">IF(OR(F23="",E23=""),"",IFERROR(IF(INDEX(Catálogo!$E$5:$E$34,MATCH(E23,Catálogo!$C$5:$C$34,0))=0,"",F23*INDEX(Catálogo!$E$5:$E$34,MATCH(E23,Catálogo!$C$5:$C$34,0))),""))</f>
        <v/>
      </c>
      <c r="P23" s="10" t="str">
        <f aca="false">IF(OR(H23="",O23=""),"",H23-O23)</f>
        <v/>
      </c>
      <c r="Q23" s="8"/>
      <c r="R23" s="6" t="str">
        <f aca="false">IF(J23="","",YEAR(J23))</f>
        <v/>
      </c>
      <c r="S23" s="6" t="str">
        <f aca="false">IF(J23="","",MONTH(J23))</f>
        <v/>
      </c>
    </row>
    <row r="24" customFormat="false" ht="15" hidden="false" customHeight="false" outlineLevel="0" collapsed="false">
      <c r="A24" s="6" t="str">
        <f aca="false">IF(C24="","",ROW()-5)</f>
        <v/>
      </c>
      <c r="B24" s="7"/>
      <c r="C24" s="8"/>
      <c r="D24" s="8"/>
      <c r="E24" s="8"/>
      <c r="F24" s="9"/>
      <c r="G24" s="10" t="str">
        <f aca="false">IF(E24="","",IFERROR(INDEX(Catálogo!$D$5:$D$34,MATCH(E24,Catálogo!$C$5:$C$34,0)),""))</f>
        <v/>
      </c>
      <c r="H24" s="10" t="str">
        <f aca="false">IF(OR(F24="",G24=""),"",F24*G24)</f>
        <v/>
      </c>
      <c r="I24" s="8"/>
      <c r="J24" s="7"/>
      <c r="K24" s="8"/>
      <c r="L24" s="8"/>
      <c r="M24" s="11"/>
      <c r="N24" s="10" t="str">
        <f aca="false">IF(H24="","",IF(K24="Cancelado",0,H24-M24))</f>
        <v/>
      </c>
      <c r="O24" s="10" t="str">
        <f aca="false">IF(OR(F24="",E24=""),"",IFERROR(IF(INDEX(Catálogo!$E$5:$E$34,MATCH(E24,Catálogo!$C$5:$C$34,0))=0,"",F24*INDEX(Catálogo!$E$5:$E$34,MATCH(E24,Catálogo!$C$5:$C$34,0))),""))</f>
        <v/>
      </c>
      <c r="P24" s="10" t="str">
        <f aca="false">IF(OR(H24="",O24=""),"",H24-O24)</f>
        <v/>
      </c>
      <c r="Q24" s="8"/>
      <c r="R24" s="6" t="str">
        <f aca="false">IF(J24="","",YEAR(J24))</f>
        <v/>
      </c>
      <c r="S24" s="6" t="str">
        <f aca="false">IF(J24="","",MONTH(J24))</f>
        <v/>
      </c>
    </row>
    <row r="25" customFormat="false" ht="15" hidden="false" customHeight="false" outlineLevel="0" collapsed="false">
      <c r="A25" s="6" t="str">
        <f aca="false">IF(C25="","",ROW()-5)</f>
        <v/>
      </c>
      <c r="B25" s="7"/>
      <c r="C25" s="8"/>
      <c r="D25" s="8"/>
      <c r="E25" s="8"/>
      <c r="F25" s="9"/>
      <c r="G25" s="10" t="str">
        <f aca="false">IF(E25="","",IFERROR(INDEX(Catálogo!$D$5:$D$34,MATCH(E25,Catálogo!$C$5:$C$34,0)),""))</f>
        <v/>
      </c>
      <c r="H25" s="10" t="str">
        <f aca="false">IF(OR(F25="",G25=""),"",F25*G25)</f>
        <v/>
      </c>
      <c r="I25" s="8"/>
      <c r="J25" s="7"/>
      <c r="K25" s="8"/>
      <c r="L25" s="8"/>
      <c r="M25" s="11"/>
      <c r="N25" s="10" t="str">
        <f aca="false">IF(H25="","",IF(K25="Cancelado",0,H25-M25))</f>
        <v/>
      </c>
      <c r="O25" s="10" t="str">
        <f aca="false">IF(OR(F25="",E25=""),"",IFERROR(IF(INDEX(Catálogo!$E$5:$E$34,MATCH(E25,Catálogo!$C$5:$C$34,0))=0,"",F25*INDEX(Catálogo!$E$5:$E$34,MATCH(E25,Catálogo!$C$5:$C$34,0))),""))</f>
        <v/>
      </c>
      <c r="P25" s="10" t="str">
        <f aca="false">IF(OR(H25="",O25=""),"",H25-O25)</f>
        <v/>
      </c>
      <c r="Q25" s="8"/>
      <c r="R25" s="6" t="str">
        <f aca="false">IF(J25="","",YEAR(J25))</f>
        <v/>
      </c>
      <c r="S25" s="6" t="str">
        <f aca="false">IF(J25="","",MONTH(J25))</f>
        <v/>
      </c>
    </row>
    <row r="26" customFormat="false" ht="15" hidden="false" customHeight="false" outlineLevel="0" collapsed="false">
      <c r="A26" s="6" t="str">
        <f aca="false">IF(C26="","",ROW()-5)</f>
        <v/>
      </c>
      <c r="B26" s="7"/>
      <c r="C26" s="8"/>
      <c r="D26" s="8"/>
      <c r="E26" s="8"/>
      <c r="F26" s="9"/>
      <c r="G26" s="10" t="str">
        <f aca="false">IF(E26="","",IFERROR(INDEX(Catálogo!$D$5:$D$34,MATCH(E26,Catálogo!$C$5:$C$34,0)),""))</f>
        <v/>
      </c>
      <c r="H26" s="10" t="str">
        <f aca="false">IF(OR(F26="",G26=""),"",F26*G26)</f>
        <v/>
      </c>
      <c r="I26" s="8"/>
      <c r="J26" s="7"/>
      <c r="K26" s="8"/>
      <c r="L26" s="8"/>
      <c r="M26" s="11"/>
      <c r="N26" s="10" t="str">
        <f aca="false">IF(H26="","",IF(K26="Cancelado",0,H26-M26))</f>
        <v/>
      </c>
      <c r="O26" s="10" t="str">
        <f aca="false">IF(OR(F26="",E26=""),"",IFERROR(IF(INDEX(Catálogo!$E$5:$E$34,MATCH(E26,Catálogo!$C$5:$C$34,0))=0,"",F26*INDEX(Catálogo!$E$5:$E$34,MATCH(E26,Catálogo!$C$5:$C$34,0))),""))</f>
        <v/>
      </c>
      <c r="P26" s="10" t="str">
        <f aca="false">IF(OR(H26="",O26=""),"",H26-O26)</f>
        <v/>
      </c>
      <c r="Q26" s="8"/>
      <c r="R26" s="6" t="str">
        <f aca="false">IF(J26="","",YEAR(J26))</f>
        <v/>
      </c>
      <c r="S26" s="6" t="str">
        <f aca="false">IF(J26="","",MONTH(J26))</f>
        <v/>
      </c>
    </row>
    <row r="27" customFormat="false" ht="15" hidden="false" customHeight="false" outlineLevel="0" collapsed="false">
      <c r="A27" s="6" t="str">
        <f aca="false">IF(C27="","",ROW()-5)</f>
        <v/>
      </c>
      <c r="B27" s="7"/>
      <c r="C27" s="8"/>
      <c r="D27" s="8"/>
      <c r="E27" s="8"/>
      <c r="F27" s="9"/>
      <c r="G27" s="10" t="str">
        <f aca="false">IF(E27="","",IFERROR(INDEX(Catálogo!$D$5:$D$34,MATCH(E27,Catálogo!$C$5:$C$34,0)),""))</f>
        <v/>
      </c>
      <c r="H27" s="10" t="str">
        <f aca="false">IF(OR(F27="",G27=""),"",F27*G27)</f>
        <v/>
      </c>
      <c r="I27" s="8"/>
      <c r="J27" s="7"/>
      <c r="K27" s="8"/>
      <c r="L27" s="8"/>
      <c r="M27" s="11"/>
      <c r="N27" s="10" t="str">
        <f aca="false">IF(H27="","",IF(K27="Cancelado",0,H27-M27))</f>
        <v/>
      </c>
      <c r="O27" s="10" t="str">
        <f aca="false">IF(OR(F27="",E27=""),"",IFERROR(IF(INDEX(Catálogo!$E$5:$E$34,MATCH(E27,Catálogo!$C$5:$C$34,0))=0,"",F27*INDEX(Catálogo!$E$5:$E$34,MATCH(E27,Catálogo!$C$5:$C$34,0))),""))</f>
        <v/>
      </c>
      <c r="P27" s="10" t="str">
        <f aca="false">IF(OR(H27="",O27=""),"",H27-O27)</f>
        <v/>
      </c>
      <c r="Q27" s="8"/>
      <c r="R27" s="6" t="str">
        <f aca="false">IF(J27="","",YEAR(J27))</f>
        <v/>
      </c>
      <c r="S27" s="6" t="str">
        <f aca="false">IF(J27="","",MONTH(J27))</f>
        <v/>
      </c>
    </row>
    <row r="28" customFormat="false" ht="15" hidden="false" customHeight="false" outlineLevel="0" collapsed="false">
      <c r="A28" s="6" t="str">
        <f aca="false">IF(C28="","",ROW()-5)</f>
        <v/>
      </c>
      <c r="B28" s="7"/>
      <c r="C28" s="8"/>
      <c r="D28" s="8"/>
      <c r="E28" s="8"/>
      <c r="F28" s="9"/>
      <c r="G28" s="10" t="str">
        <f aca="false">IF(E28="","",IFERROR(INDEX(Catálogo!$D$5:$D$34,MATCH(E28,Catálogo!$C$5:$C$34,0)),""))</f>
        <v/>
      </c>
      <c r="H28" s="10" t="str">
        <f aca="false">IF(OR(F28="",G28=""),"",F28*G28)</f>
        <v/>
      </c>
      <c r="I28" s="8"/>
      <c r="J28" s="7"/>
      <c r="K28" s="8"/>
      <c r="L28" s="8"/>
      <c r="M28" s="11"/>
      <c r="N28" s="10" t="str">
        <f aca="false">IF(H28="","",IF(K28="Cancelado",0,H28-M28))</f>
        <v/>
      </c>
      <c r="O28" s="10" t="str">
        <f aca="false">IF(OR(F28="",E28=""),"",IFERROR(IF(INDEX(Catálogo!$E$5:$E$34,MATCH(E28,Catálogo!$C$5:$C$34,0))=0,"",F28*INDEX(Catálogo!$E$5:$E$34,MATCH(E28,Catálogo!$C$5:$C$34,0))),""))</f>
        <v/>
      </c>
      <c r="P28" s="10" t="str">
        <f aca="false">IF(OR(H28="",O28=""),"",H28-O28)</f>
        <v/>
      </c>
      <c r="Q28" s="8"/>
      <c r="R28" s="6" t="str">
        <f aca="false">IF(J28="","",YEAR(J28))</f>
        <v/>
      </c>
      <c r="S28" s="6" t="str">
        <f aca="false">IF(J28="","",MONTH(J28))</f>
        <v/>
      </c>
    </row>
    <row r="29" customFormat="false" ht="15" hidden="false" customHeight="false" outlineLevel="0" collapsed="false">
      <c r="A29" s="6" t="str">
        <f aca="false">IF(C29="","",ROW()-5)</f>
        <v/>
      </c>
      <c r="B29" s="7"/>
      <c r="C29" s="8"/>
      <c r="D29" s="8"/>
      <c r="E29" s="8"/>
      <c r="F29" s="9"/>
      <c r="G29" s="10" t="str">
        <f aca="false">IF(E29="","",IFERROR(INDEX(Catálogo!$D$5:$D$34,MATCH(E29,Catálogo!$C$5:$C$34,0)),""))</f>
        <v/>
      </c>
      <c r="H29" s="10" t="str">
        <f aca="false">IF(OR(F29="",G29=""),"",F29*G29)</f>
        <v/>
      </c>
      <c r="I29" s="8"/>
      <c r="J29" s="7"/>
      <c r="K29" s="8"/>
      <c r="L29" s="8"/>
      <c r="M29" s="11"/>
      <c r="N29" s="10" t="str">
        <f aca="false">IF(H29="","",IF(K29="Cancelado",0,H29-M29))</f>
        <v/>
      </c>
      <c r="O29" s="10" t="str">
        <f aca="false">IF(OR(F29="",E29=""),"",IFERROR(IF(INDEX(Catálogo!$E$5:$E$34,MATCH(E29,Catálogo!$C$5:$C$34,0))=0,"",F29*INDEX(Catálogo!$E$5:$E$34,MATCH(E29,Catálogo!$C$5:$C$34,0))),""))</f>
        <v/>
      </c>
      <c r="P29" s="10" t="str">
        <f aca="false">IF(OR(H29="",O29=""),"",H29-O29)</f>
        <v/>
      </c>
      <c r="Q29" s="8"/>
      <c r="R29" s="6" t="str">
        <f aca="false">IF(J29="","",YEAR(J29))</f>
        <v/>
      </c>
      <c r="S29" s="6" t="str">
        <f aca="false">IF(J29="","",MONTH(J29))</f>
        <v/>
      </c>
    </row>
    <row r="30" customFormat="false" ht="15" hidden="false" customHeight="false" outlineLevel="0" collapsed="false">
      <c r="A30" s="6" t="str">
        <f aca="false">IF(C30="","",ROW()-5)</f>
        <v/>
      </c>
      <c r="B30" s="7"/>
      <c r="C30" s="8"/>
      <c r="D30" s="8"/>
      <c r="E30" s="8"/>
      <c r="F30" s="9"/>
      <c r="G30" s="10" t="str">
        <f aca="false">IF(E30="","",IFERROR(INDEX(Catálogo!$D$5:$D$34,MATCH(E30,Catálogo!$C$5:$C$34,0)),""))</f>
        <v/>
      </c>
      <c r="H30" s="10" t="str">
        <f aca="false">IF(OR(F30="",G30=""),"",F30*G30)</f>
        <v/>
      </c>
      <c r="I30" s="8"/>
      <c r="J30" s="7"/>
      <c r="K30" s="8"/>
      <c r="L30" s="8"/>
      <c r="M30" s="11"/>
      <c r="N30" s="10" t="str">
        <f aca="false">IF(H30="","",IF(K30="Cancelado",0,H30-M30))</f>
        <v/>
      </c>
      <c r="O30" s="10" t="str">
        <f aca="false">IF(OR(F30="",E30=""),"",IFERROR(IF(INDEX(Catálogo!$E$5:$E$34,MATCH(E30,Catálogo!$C$5:$C$34,0))=0,"",F30*INDEX(Catálogo!$E$5:$E$34,MATCH(E30,Catálogo!$C$5:$C$34,0))),""))</f>
        <v/>
      </c>
      <c r="P30" s="10" t="str">
        <f aca="false">IF(OR(H30="",O30=""),"",H30-O30)</f>
        <v/>
      </c>
      <c r="Q30" s="8"/>
      <c r="R30" s="6" t="str">
        <f aca="false">IF(J30="","",YEAR(J30))</f>
        <v/>
      </c>
      <c r="S30" s="6" t="str">
        <f aca="false">IF(J30="","",MONTH(J30))</f>
        <v/>
      </c>
    </row>
    <row r="31" customFormat="false" ht="15" hidden="false" customHeight="false" outlineLevel="0" collapsed="false">
      <c r="A31" s="6" t="str">
        <f aca="false">IF(C31="","",ROW()-5)</f>
        <v/>
      </c>
      <c r="B31" s="7"/>
      <c r="C31" s="8"/>
      <c r="D31" s="8"/>
      <c r="E31" s="8"/>
      <c r="F31" s="9"/>
      <c r="G31" s="10" t="str">
        <f aca="false">IF(E31="","",IFERROR(INDEX(Catálogo!$D$5:$D$34,MATCH(E31,Catálogo!$C$5:$C$34,0)),""))</f>
        <v/>
      </c>
      <c r="H31" s="10" t="str">
        <f aca="false">IF(OR(F31="",G31=""),"",F31*G31)</f>
        <v/>
      </c>
      <c r="I31" s="8"/>
      <c r="J31" s="7"/>
      <c r="K31" s="8"/>
      <c r="L31" s="8"/>
      <c r="M31" s="11"/>
      <c r="N31" s="10" t="str">
        <f aca="false">IF(H31="","",IF(K31="Cancelado",0,H31-M31))</f>
        <v/>
      </c>
      <c r="O31" s="10" t="str">
        <f aca="false">IF(OR(F31="",E31=""),"",IFERROR(IF(INDEX(Catálogo!$E$5:$E$34,MATCH(E31,Catálogo!$C$5:$C$34,0))=0,"",F31*INDEX(Catálogo!$E$5:$E$34,MATCH(E31,Catálogo!$C$5:$C$34,0))),""))</f>
        <v/>
      </c>
      <c r="P31" s="10" t="str">
        <f aca="false">IF(OR(H31="",O31=""),"",H31-O31)</f>
        <v/>
      </c>
      <c r="Q31" s="8"/>
      <c r="R31" s="6" t="str">
        <f aca="false">IF(J31="","",YEAR(J31))</f>
        <v/>
      </c>
      <c r="S31" s="6" t="str">
        <f aca="false">IF(J31="","",MONTH(J31))</f>
        <v/>
      </c>
    </row>
    <row r="32" customFormat="false" ht="15" hidden="false" customHeight="false" outlineLevel="0" collapsed="false">
      <c r="A32" s="6" t="str">
        <f aca="false">IF(C32="","",ROW()-5)</f>
        <v/>
      </c>
      <c r="B32" s="7"/>
      <c r="C32" s="8"/>
      <c r="D32" s="8"/>
      <c r="E32" s="8"/>
      <c r="F32" s="9"/>
      <c r="G32" s="10" t="str">
        <f aca="false">IF(E32="","",IFERROR(INDEX(Catálogo!$D$5:$D$34,MATCH(E32,Catálogo!$C$5:$C$34,0)),""))</f>
        <v/>
      </c>
      <c r="H32" s="10" t="str">
        <f aca="false">IF(OR(F32="",G32=""),"",F32*G32)</f>
        <v/>
      </c>
      <c r="I32" s="8"/>
      <c r="J32" s="7"/>
      <c r="K32" s="8"/>
      <c r="L32" s="8"/>
      <c r="M32" s="11"/>
      <c r="N32" s="10" t="str">
        <f aca="false">IF(H32="","",IF(K32="Cancelado",0,H32-M32))</f>
        <v/>
      </c>
      <c r="O32" s="10" t="str">
        <f aca="false">IF(OR(F32="",E32=""),"",IFERROR(IF(INDEX(Catálogo!$E$5:$E$34,MATCH(E32,Catálogo!$C$5:$C$34,0))=0,"",F32*INDEX(Catálogo!$E$5:$E$34,MATCH(E32,Catálogo!$C$5:$C$34,0))),""))</f>
        <v/>
      </c>
      <c r="P32" s="10" t="str">
        <f aca="false">IF(OR(H32="",O32=""),"",H32-O32)</f>
        <v/>
      </c>
      <c r="Q32" s="8"/>
      <c r="R32" s="6" t="str">
        <f aca="false">IF(J32="","",YEAR(J32))</f>
        <v/>
      </c>
      <c r="S32" s="6" t="str">
        <f aca="false">IF(J32="","",MONTH(J32))</f>
        <v/>
      </c>
    </row>
    <row r="33" customFormat="false" ht="15" hidden="false" customHeight="false" outlineLevel="0" collapsed="false">
      <c r="A33" s="6" t="str">
        <f aca="false">IF(C33="","",ROW()-5)</f>
        <v/>
      </c>
      <c r="B33" s="7"/>
      <c r="C33" s="8"/>
      <c r="D33" s="8"/>
      <c r="E33" s="8"/>
      <c r="F33" s="9"/>
      <c r="G33" s="10" t="str">
        <f aca="false">IF(E33="","",IFERROR(INDEX(Catálogo!$D$5:$D$34,MATCH(E33,Catálogo!$C$5:$C$34,0)),""))</f>
        <v/>
      </c>
      <c r="H33" s="10" t="str">
        <f aca="false">IF(OR(F33="",G33=""),"",F33*G33)</f>
        <v/>
      </c>
      <c r="I33" s="8"/>
      <c r="J33" s="7"/>
      <c r="K33" s="8"/>
      <c r="L33" s="8"/>
      <c r="M33" s="11"/>
      <c r="N33" s="10" t="str">
        <f aca="false">IF(H33="","",IF(K33="Cancelado",0,H33-M33))</f>
        <v/>
      </c>
      <c r="O33" s="10" t="str">
        <f aca="false">IF(OR(F33="",E33=""),"",IFERROR(IF(INDEX(Catálogo!$E$5:$E$34,MATCH(E33,Catálogo!$C$5:$C$34,0))=0,"",F33*INDEX(Catálogo!$E$5:$E$34,MATCH(E33,Catálogo!$C$5:$C$34,0))),""))</f>
        <v/>
      </c>
      <c r="P33" s="10" t="str">
        <f aca="false">IF(OR(H33="",O33=""),"",H33-O33)</f>
        <v/>
      </c>
      <c r="Q33" s="8"/>
      <c r="R33" s="6" t="str">
        <f aca="false">IF(J33="","",YEAR(J33))</f>
        <v/>
      </c>
      <c r="S33" s="6" t="str">
        <f aca="false">IF(J33="","",MONTH(J33))</f>
        <v/>
      </c>
    </row>
    <row r="34" customFormat="false" ht="15" hidden="false" customHeight="false" outlineLevel="0" collapsed="false">
      <c r="A34" s="6" t="str">
        <f aca="false">IF(C34="","",ROW()-5)</f>
        <v/>
      </c>
      <c r="B34" s="7"/>
      <c r="C34" s="8"/>
      <c r="D34" s="8"/>
      <c r="E34" s="8"/>
      <c r="F34" s="9"/>
      <c r="G34" s="10" t="str">
        <f aca="false">IF(E34="","",IFERROR(INDEX(Catálogo!$D$5:$D$34,MATCH(E34,Catálogo!$C$5:$C$34,0)),""))</f>
        <v/>
      </c>
      <c r="H34" s="10" t="str">
        <f aca="false">IF(OR(F34="",G34=""),"",F34*G34)</f>
        <v/>
      </c>
      <c r="I34" s="8"/>
      <c r="J34" s="7"/>
      <c r="K34" s="8"/>
      <c r="L34" s="8"/>
      <c r="M34" s="11"/>
      <c r="N34" s="10" t="str">
        <f aca="false">IF(H34="","",IF(K34="Cancelado",0,H34-M34))</f>
        <v/>
      </c>
      <c r="O34" s="10" t="str">
        <f aca="false">IF(OR(F34="",E34=""),"",IFERROR(IF(INDEX(Catálogo!$E$5:$E$34,MATCH(E34,Catálogo!$C$5:$C$34,0))=0,"",F34*INDEX(Catálogo!$E$5:$E$34,MATCH(E34,Catálogo!$C$5:$C$34,0))),""))</f>
        <v/>
      </c>
      <c r="P34" s="10" t="str">
        <f aca="false">IF(OR(H34="",O34=""),"",H34-O34)</f>
        <v/>
      </c>
      <c r="Q34" s="8"/>
      <c r="R34" s="6" t="str">
        <f aca="false">IF(J34="","",YEAR(J34))</f>
        <v/>
      </c>
      <c r="S34" s="6" t="str">
        <f aca="false">IF(J34="","",MONTH(J34))</f>
        <v/>
      </c>
    </row>
    <row r="35" customFormat="false" ht="15" hidden="false" customHeight="false" outlineLevel="0" collapsed="false">
      <c r="A35" s="6" t="str">
        <f aca="false">IF(C35="","",ROW()-5)</f>
        <v/>
      </c>
      <c r="B35" s="7"/>
      <c r="C35" s="8"/>
      <c r="D35" s="8"/>
      <c r="E35" s="8"/>
      <c r="F35" s="9"/>
      <c r="G35" s="10" t="str">
        <f aca="false">IF(E35="","",IFERROR(INDEX(Catálogo!$D$5:$D$34,MATCH(E35,Catálogo!$C$5:$C$34,0)),""))</f>
        <v/>
      </c>
      <c r="H35" s="10" t="str">
        <f aca="false">IF(OR(F35="",G35=""),"",F35*G35)</f>
        <v/>
      </c>
      <c r="I35" s="8"/>
      <c r="J35" s="7"/>
      <c r="K35" s="8"/>
      <c r="L35" s="8"/>
      <c r="M35" s="11"/>
      <c r="N35" s="10" t="str">
        <f aca="false">IF(H35="","",IF(K35="Cancelado",0,H35-M35))</f>
        <v/>
      </c>
      <c r="O35" s="10" t="str">
        <f aca="false">IF(OR(F35="",E35=""),"",IFERROR(IF(INDEX(Catálogo!$E$5:$E$34,MATCH(E35,Catálogo!$C$5:$C$34,0))=0,"",F35*INDEX(Catálogo!$E$5:$E$34,MATCH(E35,Catálogo!$C$5:$C$34,0))),""))</f>
        <v/>
      </c>
      <c r="P35" s="10" t="str">
        <f aca="false">IF(OR(H35="",O35=""),"",H35-O35)</f>
        <v/>
      </c>
      <c r="Q35" s="8"/>
      <c r="R35" s="6" t="str">
        <f aca="false">IF(J35="","",YEAR(J35))</f>
        <v/>
      </c>
      <c r="S35" s="6" t="str">
        <f aca="false">IF(J35="","",MONTH(J35))</f>
        <v/>
      </c>
    </row>
    <row r="36" customFormat="false" ht="15" hidden="false" customHeight="false" outlineLevel="0" collapsed="false">
      <c r="A36" s="6" t="str">
        <f aca="false">IF(C36="","",ROW()-5)</f>
        <v/>
      </c>
      <c r="B36" s="7"/>
      <c r="C36" s="8"/>
      <c r="D36" s="8"/>
      <c r="E36" s="8"/>
      <c r="F36" s="9"/>
      <c r="G36" s="10" t="str">
        <f aca="false">IF(E36="","",IFERROR(INDEX(Catálogo!$D$5:$D$34,MATCH(E36,Catálogo!$C$5:$C$34,0)),""))</f>
        <v/>
      </c>
      <c r="H36" s="10" t="str">
        <f aca="false">IF(OR(F36="",G36=""),"",F36*G36)</f>
        <v/>
      </c>
      <c r="I36" s="8"/>
      <c r="J36" s="7"/>
      <c r="K36" s="8"/>
      <c r="L36" s="8"/>
      <c r="M36" s="11"/>
      <c r="N36" s="10" t="str">
        <f aca="false">IF(H36="","",IF(K36="Cancelado",0,H36-M36))</f>
        <v/>
      </c>
      <c r="O36" s="10" t="str">
        <f aca="false">IF(OR(F36="",E36=""),"",IFERROR(IF(INDEX(Catálogo!$E$5:$E$34,MATCH(E36,Catálogo!$C$5:$C$34,0))=0,"",F36*INDEX(Catálogo!$E$5:$E$34,MATCH(E36,Catálogo!$C$5:$C$34,0))),""))</f>
        <v/>
      </c>
      <c r="P36" s="10" t="str">
        <f aca="false">IF(OR(H36="",O36=""),"",H36-O36)</f>
        <v/>
      </c>
      <c r="Q36" s="8"/>
      <c r="R36" s="6" t="str">
        <f aca="false">IF(J36="","",YEAR(J36))</f>
        <v/>
      </c>
      <c r="S36" s="6" t="str">
        <f aca="false">IF(J36="","",MONTH(J36))</f>
        <v/>
      </c>
    </row>
    <row r="37" customFormat="false" ht="15" hidden="false" customHeight="false" outlineLevel="0" collapsed="false">
      <c r="A37" s="6" t="str">
        <f aca="false">IF(C37="","",ROW()-5)</f>
        <v/>
      </c>
      <c r="B37" s="7"/>
      <c r="C37" s="8"/>
      <c r="D37" s="8"/>
      <c r="E37" s="8"/>
      <c r="F37" s="9"/>
      <c r="G37" s="10" t="str">
        <f aca="false">IF(E37="","",IFERROR(INDEX(Catálogo!$D$5:$D$34,MATCH(E37,Catálogo!$C$5:$C$34,0)),""))</f>
        <v/>
      </c>
      <c r="H37" s="10" t="str">
        <f aca="false">IF(OR(F37="",G37=""),"",F37*G37)</f>
        <v/>
      </c>
      <c r="I37" s="8"/>
      <c r="J37" s="7"/>
      <c r="K37" s="8"/>
      <c r="L37" s="8"/>
      <c r="M37" s="11"/>
      <c r="N37" s="10" t="str">
        <f aca="false">IF(H37="","",IF(K37="Cancelado",0,H37-M37))</f>
        <v/>
      </c>
      <c r="O37" s="10" t="str">
        <f aca="false">IF(OR(F37="",E37=""),"",IFERROR(IF(INDEX(Catálogo!$E$5:$E$34,MATCH(E37,Catálogo!$C$5:$C$34,0))=0,"",F37*INDEX(Catálogo!$E$5:$E$34,MATCH(E37,Catálogo!$C$5:$C$34,0))),""))</f>
        <v/>
      </c>
      <c r="P37" s="10" t="str">
        <f aca="false">IF(OR(H37="",O37=""),"",H37-O37)</f>
        <v/>
      </c>
      <c r="Q37" s="8"/>
      <c r="R37" s="6" t="str">
        <f aca="false">IF(J37="","",YEAR(J37))</f>
        <v/>
      </c>
      <c r="S37" s="6" t="str">
        <f aca="false">IF(J37="","",MONTH(J37))</f>
        <v/>
      </c>
    </row>
    <row r="38" customFormat="false" ht="15" hidden="false" customHeight="false" outlineLevel="0" collapsed="false">
      <c r="A38" s="6" t="str">
        <f aca="false">IF(C38="","",ROW()-5)</f>
        <v/>
      </c>
      <c r="B38" s="7"/>
      <c r="C38" s="8"/>
      <c r="D38" s="8"/>
      <c r="E38" s="8"/>
      <c r="F38" s="9"/>
      <c r="G38" s="10" t="str">
        <f aca="false">IF(E38="","",IFERROR(INDEX(Catálogo!$D$5:$D$34,MATCH(E38,Catálogo!$C$5:$C$34,0)),""))</f>
        <v/>
      </c>
      <c r="H38" s="10" t="str">
        <f aca="false">IF(OR(F38="",G38=""),"",F38*G38)</f>
        <v/>
      </c>
      <c r="I38" s="8"/>
      <c r="J38" s="7"/>
      <c r="K38" s="8"/>
      <c r="L38" s="8"/>
      <c r="M38" s="11"/>
      <c r="N38" s="10" t="str">
        <f aca="false">IF(H38="","",IF(K38="Cancelado",0,H38-M38))</f>
        <v/>
      </c>
      <c r="O38" s="10" t="str">
        <f aca="false">IF(OR(F38="",E38=""),"",IFERROR(IF(INDEX(Catálogo!$E$5:$E$34,MATCH(E38,Catálogo!$C$5:$C$34,0))=0,"",F38*INDEX(Catálogo!$E$5:$E$34,MATCH(E38,Catálogo!$C$5:$C$34,0))),""))</f>
        <v/>
      </c>
      <c r="P38" s="10" t="str">
        <f aca="false">IF(OR(H38="",O38=""),"",H38-O38)</f>
        <v/>
      </c>
      <c r="Q38" s="8"/>
      <c r="R38" s="6" t="str">
        <f aca="false">IF(J38="","",YEAR(J38))</f>
        <v/>
      </c>
      <c r="S38" s="6" t="str">
        <f aca="false">IF(J38="","",MONTH(J38))</f>
        <v/>
      </c>
    </row>
    <row r="39" customFormat="false" ht="15" hidden="false" customHeight="false" outlineLevel="0" collapsed="false">
      <c r="A39" s="6" t="str">
        <f aca="false">IF(C39="","",ROW()-5)</f>
        <v/>
      </c>
      <c r="B39" s="7"/>
      <c r="C39" s="8"/>
      <c r="D39" s="8"/>
      <c r="E39" s="8"/>
      <c r="F39" s="9"/>
      <c r="G39" s="10" t="str">
        <f aca="false">IF(E39="","",IFERROR(INDEX(Catálogo!$D$5:$D$34,MATCH(E39,Catálogo!$C$5:$C$34,0)),""))</f>
        <v/>
      </c>
      <c r="H39" s="10" t="str">
        <f aca="false">IF(OR(F39="",G39=""),"",F39*G39)</f>
        <v/>
      </c>
      <c r="I39" s="8"/>
      <c r="J39" s="7"/>
      <c r="K39" s="8"/>
      <c r="L39" s="8"/>
      <c r="M39" s="11"/>
      <c r="N39" s="10" t="str">
        <f aca="false">IF(H39="","",IF(K39="Cancelado",0,H39-M39))</f>
        <v/>
      </c>
      <c r="O39" s="10" t="str">
        <f aca="false">IF(OR(F39="",E39=""),"",IFERROR(IF(INDEX(Catálogo!$E$5:$E$34,MATCH(E39,Catálogo!$C$5:$C$34,0))=0,"",F39*INDEX(Catálogo!$E$5:$E$34,MATCH(E39,Catálogo!$C$5:$C$34,0))),""))</f>
        <v/>
      </c>
      <c r="P39" s="10" t="str">
        <f aca="false">IF(OR(H39="",O39=""),"",H39-O39)</f>
        <v/>
      </c>
      <c r="Q39" s="8"/>
      <c r="R39" s="6" t="str">
        <f aca="false">IF(J39="","",YEAR(J39))</f>
        <v/>
      </c>
      <c r="S39" s="6" t="str">
        <f aca="false">IF(J39="","",MONTH(J39))</f>
        <v/>
      </c>
    </row>
    <row r="40" customFormat="false" ht="15" hidden="false" customHeight="false" outlineLevel="0" collapsed="false">
      <c r="A40" s="6" t="str">
        <f aca="false">IF(C40="","",ROW()-5)</f>
        <v/>
      </c>
      <c r="B40" s="7"/>
      <c r="C40" s="8"/>
      <c r="D40" s="8"/>
      <c r="E40" s="8"/>
      <c r="F40" s="9"/>
      <c r="G40" s="10" t="str">
        <f aca="false">IF(E40="","",IFERROR(INDEX(Catálogo!$D$5:$D$34,MATCH(E40,Catálogo!$C$5:$C$34,0)),""))</f>
        <v/>
      </c>
      <c r="H40" s="10" t="str">
        <f aca="false">IF(OR(F40="",G40=""),"",F40*G40)</f>
        <v/>
      </c>
      <c r="I40" s="8"/>
      <c r="J40" s="7"/>
      <c r="K40" s="8"/>
      <c r="L40" s="8"/>
      <c r="M40" s="11"/>
      <c r="N40" s="10" t="str">
        <f aca="false">IF(H40="","",IF(K40="Cancelado",0,H40-M40))</f>
        <v/>
      </c>
      <c r="O40" s="10" t="str">
        <f aca="false">IF(OR(F40="",E40=""),"",IFERROR(IF(INDEX(Catálogo!$E$5:$E$34,MATCH(E40,Catálogo!$C$5:$C$34,0))=0,"",F40*INDEX(Catálogo!$E$5:$E$34,MATCH(E40,Catálogo!$C$5:$C$34,0))),""))</f>
        <v/>
      </c>
      <c r="P40" s="10" t="str">
        <f aca="false">IF(OR(H40="",O40=""),"",H40-O40)</f>
        <v/>
      </c>
      <c r="Q40" s="8"/>
      <c r="R40" s="6" t="str">
        <f aca="false">IF(J40="","",YEAR(J40))</f>
        <v/>
      </c>
      <c r="S40" s="6" t="str">
        <f aca="false">IF(J40="","",MONTH(J40))</f>
        <v/>
      </c>
    </row>
    <row r="41" customFormat="false" ht="15" hidden="false" customHeight="false" outlineLevel="0" collapsed="false">
      <c r="A41" s="6" t="str">
        <f aca="false">IF(C41="","",ROW()-5)</f>
        <v/>
      </c>
      <c r="B41" s="7"/>
      <c r="C41" s="8"/>
      <c r="D41" s="8"/>
      <c r="E41" s="8"/>
      <c r="F41" s="9"/>
      <c r="G41" s="10" t="str">
        <f aca="false">IF(E41="","",IFERROR(INDEX(Catálogo!$D$5:$D$34,MATCH(E41,Catálogo!$C$5:$C$34,0)),""))</f>
        <v/>
      </c>
      <c r="H41" s="10" t="str">
        <f aca="false">IF(OR(F41="",G41=""),"",F41*G41)</f>
        <v/>
      </c>
      <c r="I41" s="8"/>
      <c r="J41" s="7"/>
      <c r="K41" s="8"/>
      <c r="L41" s="8"/>
      <c r="M41" s="11"/>
      <c r="N41" s="10" t="str">
        <f aca="false">IF(H41="","",IF(K41="Cancelado",0,H41-M41))</f>
        <v/>
      </c>
      <c r="O41" s="10" t="str">
        <f aca="false">IF(OR(F41="",E41=""),"",IFERROR(IF(INDEX(Catálogo!$E$5:$E$34,MATCH(E41,Catálogo!$C$5:$C$34,0))=0,"",F41*INDEX(Catálogo!$E$5:$E$34,MATCH(E41,Catálogo!$C$5:$C$34,0))),""))</f>
        <v/>
      </c>
      <c r="P41" s="10" t="str">
        <f aca="false">IF(OR(H41="",O41=""),"",H41-O41)</f>
        <v/>
      </c>
      <c r="Q41" s="8"/>
      <c r="R41" s="6" t="str">
        <f aca="false">IF(J41="","",YEAR(J41))</f>
        <v/>
      </c>
      <c r="S41" s="6" t="str">
        <f aca="false">IF(J41="","",MONTH(J41))</f>
        <v/>
      </c>
    </row>
    <row r="42" customFormat="false" ht="15" hidden="false" customHeight="false" outlineLevel="0" collapsed="false">
      <c r="A42" s="6" t="str">
        <f aca="false">IF(C42="","",ROW()-5)</f>
        <v/>
      </c>
      <c r="B42" s="7"/>
      <c r="C42" s="8"/>
      <c r="D42" s="8"/>
      <c r="E42" s="8"/>
      <c r="F42" s="9"/>
      <c r="G42" s="10" t="str">
        <f aca="false">IF(E42="","",IFERROR(INDEX(Catálogo!$D$5:$D$34,MATCH(E42,Catálogo!$C$5:$C$34,0)),""))</f>
        <v/>
      </c>
      <c r="H42" s="10" t="str">
        <f aca="false">IF(OR(F42="",G42=""),"",F42*G42)</f>
        <v/>
      </c>
      <c r="I42" s="8"/>
      <c r="J42" s="7"/>
      <c r="K42" s="8"/>
      <c r="L42" s="8"/>
      <c r="M42" s="11"/>
      <c r="N42" s="10" t="str">
        <f aca="false">IF(H42="","",IF(K42="Cancelado",0,H42-M42))</f>
        <v/>
      </c>
      <c r="O42" s="10" t="str">
        <f aca="false">IF(OR(F42="",E42=""),"",IFERROR(IF(INDEX(Catálogo!$E$5:$E$34,MATCH(E42,Catálogo!$C$5:$C$34,0))=0,"",F42*INDEX(Catálogo!$E$5:$E$34,MATCH(E42,Catálogo!$C$5:$C$34,0))),""))</f>
        <v/>
      </c>
      <c r="P42" s="10" t="str">
        <f aca="false">IF(OR(H42="",O42=""),"",H42-O42)</f>
        <v/>
      </c>
      <c r="Q42" s="8"/>
      <c r="R42" s="6" t="str">
        <f aca="false">IF(J42="","",YEAR(J42))</f>
        <v/>
      </c>
      <c r="S42" s="6" t="str">
        <f aca="false">IF(J42="","",MONTH(J42))</f>
        <v/>
      </c>
    </row>
    <row r="43" customFormat="false" ht="15" hidden="false" customHeight="false" outlineLevel="0" collapsed="false">
      <c r="A43" s="6" t="str">
        <f aca="false">IF(C43="","",ROW()-5)</f>
        <v/>
      </c>
      <c r="B43" s="7"/>
      <c r="C43" s="8"/>
      <c r="D43" s="8"/>
      <c r="E43" s="8"/>
      <c r="F43" s="9"/>
      <c r="G43" s="10" t="str">
        <f aca="false">IF(E43="","",IFERROR(INDEX(Catálogo!$D$5:$D$34,MATCH(E43,Catálogo!$C$5:$C$34,0)),""))</f>
        <v/>
      </c>
      <c r="H43" s="10" t="str">
        <f aca="false">IF(OR(F43="",G43=""),"",F43*G43)</f>
        <v/>
      </c>
      <c r="I43" s="8"/>
      <c r="J43" s="7"/>
      <c r="K43" s="8"/>
      <c r="L43" s="8"/>
      <c r="M43" s="11"/>
      <c r="N43" s="10" t="str">
        <f aca="false">IF(H43="","",IF(K43="Cancelado",0,H43-M43))</f>
        <v/>
      </c>
      <c r="O43" s="10" t="str">
        <f aca="false">IF(OR(F43="",E43=""),"",IFERROR(IF(INDEX(Catálogo!$E$5:$E$34,MATCH(E43,Catálogo!$C$5:$C$34,0))=0,"",F43*INDEX(Catálogo!$E$5:$E$34,MATCH(E43,Catálogo!$C$5:$C$34,0))),""))</f>
        <v/>
      </c>
      <c r="P43" s="10" t="str">
        <f aca="false">IF(OR(H43="",O43=""),"",H43-O43)</f>
        <v/>
      </c>
      <c r="Q43" s="8"/>
      <c r="R43" s="6" t="str">
        <f aca="false">IF(J43="","",YEAR(J43))</f>
        <v/>
      </c>
      <c r="S43" s="6" t="str">
        <f aca="false">IF(J43="","",MONTH(J43))</f>
        <v/>
      </c>
    </row>
    <row r="44" customFormat="false" ht="15" hidden="false" customHeight="false" outlineLevel="0" collapsed="false">
      <c r="A44" s="6" t="str">
        <f aca="false">IF(C44="","",ROW()-5)</f>
        <v/>
      </c>
      <c r="B44" s="7"/>
      <c r="C44" s="8"/>
      <c r="D44" s="8"/>
      <c r="E44" s="8"/>
      <c r="F44" s="9"/>
      <c r="G44" s="10" t="str">
        <f aca="false">IF(E44="","",IFERROR(INDEX(Catálogo!$D$5:$D$34,MATCH(E44,Catálogo!$C$5:$C$34,0)),""))</f>
        <v/>
      </c>
      <c r="H44" s="10" t="str">
        <f aca="false">IF(OR(F44="",G44=""),"",F44*G44)</f>
        <v/>
      </c>
      <c r="I44" s="8"/>
      <c r="J44" s="7"/>
      <c r="K44" s="8"/>
      <c r="L44" s="8"/>
      <c r="M44" s="11"/>
      <c r="N44" s="10" t="str">
        <f aca="false">IF(H44="","",IF(K44="Cancelado",0,H44-M44))</f>
        <v/>
      </c>
      <c r="O44" s="10" t="str">
        <f aca="false">IF(OR(F44="",E44=""),"",IFERROR(IF(INDEX(Catálogo!$E$5:$E$34,MATCH(E44,Catálogo!$C$5:$C$34,0))=0,"",F44*INDEX(Catálogo!$E$5:$E$34,MATCH(E44,Catálogo!$C$5:$C$34,0))),""))</f>
        <v/>
      </c>
      <c r="P44" s="10" t="str">
        <f aca="false">IF(OR(H44="",O44=""),"",H44-O44)</f>
        <v/>
      </c>
      <c r="Q44" s="8"/>
      <c r="R44" s="6" t="str">
        <f aca="false">IF(J44="","",YEAR(J44))</f>
        <v/>
      </c>
      <c r="S44" s="6" t="str">
        <f aca="false">IF(J44="","",MONTH(J44))</f>
        <v/>
      </c>
    </row>
    <row r="45" customFormat="false" ht="15" hidden="false" customHeight="false" outlineLevel="0" collapsed="false">
      <c r="A45" s="6" t="str">
        <f aca="false">IF(C45="","",ROW()-5)</f>
        <v/>
      </c>
      <c r="B45" s="7"/>
      <c r="C45" s="8"/>
      <c r="D45" s="8"/>
      <c r="E45" s="8"/>
      <c r="F45" s="9"/>
      <c r="G45" s="10" t="str">
        <f aca="false">IF(E45="","",IFERROR(INDEX(Catálogo!$D$5:$D$34,MATCH(E45,Catálogo!$C$5:$C$34,0)),""))</f>
        <v/>
      </c>
      <c r="H45" s="10" t="str">
        <f aca="false">IF(OR(F45="",G45=""),"",F45*G45)</f>
        <v/>
      </c>
      <c r="I45" s="8"/>
      <c r="J45" s="7"/>
      <c r="K45" s="8"/>
      <c r="L45" s="8"/>
      <c r="M45" s="11"/>
      <c r="N45" s="10" t="str">
        <f aca="false">IF(H45="","",IF(K45="Cancelado",0,H45-M45))</f>
        <v/>
      </c>
      <c r="O45" s="10" t="str">
        <f aca="false">IF(OR(F45="",E45=""),"",IFERROR(IF(INDEX(Catálogo!$E$5:$E$34,MATCH(E45,Catálogo!$C$5:$C$34,0))=0,"",F45*INDEX(Catálogo!$E$5:$E$34,MATCH(E45,Catálogo!$C$5:$C$34,0))),""))</f>
        <v/>
      </c>
      <c r="P45" s="10" t="str">
        <f aca="false">IF(OR(H45="",O45=""),"",H45-O45)</f>
        <v/>
      </c>
      <c r="Q45" s="8"/>
      <c r="R45" s="6" t="str">
        <f aca="false">IF(J45="","",YEAR(J45))</f>
        <v/>
      </c>
      <c r="S45" s="6" t="str">
        <f aca="false">IF(J45="","",MONTH(J45))</f>
        <v/>
      </c>
    </row>
    <row r="46" customFormat="false" ht="15" hidden="false" customHeight="false" outlineLevel="0" collapsed="false">
      <c r="A46" s="6" t="str">
        <f aca="false">IF(C46="","",ROW()-5)</f>
        <v/>
      </c>
      <c r="B46" s="7"/>
      <c r="C46" s="8"/>
      <c r="D46" s="8"/>
      <c r="E46" s="8"/>
      <c r="F46" s="9"/>
      <c r="G46" s="10" t="str">
        <f aca="false">IF(E46="","",IFERROR(INDEX(Catálogo!$D$5:$D$34,MATCH(E46,Catálogo!$C$5:$C$34,0)),""))</f>
        <v/>
      </c>
      <c r="H46" s="10" t="str">
        <f aca="false">IF(OR(F46="",G46=""),"",F46*G46)</f>
        <v/>
      </c>
      <c r="I46" s="8"/>
      <c r="J46" s="7"/>
      <c r="K46" s="8"/>
      <c r="L46" s="8"/>
      <c r="M46" s="11"/>
      <c r="N46" s="10" t="str">
        <f aca="false">IF(H46="","",IF(K46="Cancelado",0,H46-M46))</f>
        <v/>
      </c>
      <c r="O46" s="10" t="str">
        <f aca="false">IF(OR(F46="",E46=""),"",IFERROR(IF(INDEX(Catálogo!$E$5:$E$34,MATCH(E46,Catálogo!$C$5:$C$34,0))=0,"",F46*INDEX(Catálogo!$E$5:$E$34,MATCH(E46,Catálogo!$C$5:$C$34,0))),""))</f>
        <v/>
      </c>
      <c r="P46" s="10" t="str">
        <f aca="false">IF(OR(H46="",O46=""),"",H46-O46)</f>
        <v/>
      </c>
      <c r="Q46" s="8"/>
      <c r="R46" s="6" t="str">
        <f aca="false">IF(J46="","",YEAR(J46))</f>
        <v/>
      </c>
      <c r="S46" s="6" t="str">
        <f aca="false">IF(J46="","",MONTH(J46))</f>
        <v/>
      </c>
    </row>
    <row r="47" customFormat="false" ht="15" hidden="false" customHeight="false" outlineLevel="0" collapsed="false">
      <c r="A47" s="6" t="str">
        <f aca="false">IF(C47="","",ROW()-5)</f>
        <v/>
      </c>
      <c r="B47" s="7"/>
      <c r="C47" s="8"/>
      <c r="D47" s="8"/>
      <c r="E47" s="8"/>
      <c r="F47" s="9"/>
      <c r="G47" s="10" t="str">
        <f aca="false">IF(E47="","",IFERROR(INDEX(Catálogo!$D$5:$D$34,MATCH(E47,Catálogo!$C$5:$C$34,0)),""))</f>
        <v/>
      </c>
      <c r="H47" s="10" t="str">
        <f aca="false">IF(OR(F47="",G47=""),"",F47*G47)</f>
        <v/>
      </c>
      <c r="I47" s="8"/>
      <c r="J47" s="7"/>
      <c r="K47" s="8"/>
      <c r="L47" s="8"/>
      <c r="M47" s="11"/>
      <c r="N47" s="10" t="str">
        <f aca="false">IF(H47="","",IF(K47="Cancelado",0,H47-M47))</f>
        <v/>
      </c>
      <c r="O47" s="10" t="str">
        <f aca="false">IF(OR(F47="",E47=""),"",IFERROR(IF(INDEX(Catálogo!$E$5:$E$34,MATCH(E47,Catálogo!$C$5:$C$34,0))=0,"",F47*INDEX(Catálogo!$E$5:$E$34,MATCH(E47,Catálogo!$C$5:$C$34,0))),""))</f>
        <v/>
      </c>
      <c r="P47" s="10" t="str">
        <f aca="false">IF(OR(H47="",O47=""),"",H47-O47)</f>
        <v/>
      </c>
      <c r="Q47" s="8"/>
      <c r="R47" s="6" t="str">
        <f aca="false">IF(J47="","",YEAR(J47))</f>
        <v/>
      </c>
      <c r="S47" s="6" t="str">
        <f aca="false">IF(J47="","",MONTH(J47))</f>
        <v/>
      </c>
    </row>
    <row r="48" customFormat="false" ht="15" hidden="false" customHeight="false" outlineLevel="0" collapsed="false">
      <c r="A48" s="6" t="str">
        <f aca="false">IF(C48="","",ROW()-5)</f>
        <v/>
      </c>
      <c r="B48" s="7"/>
      <c r="C48" s="8"/>
      <c r="D48" s="8"/>
      <c r="E48" s="8"/>
      <c r="F48" s="9"/>
      <c r="G48" s="10" t="str">
        <f aca="false">IF(E48="","",IFERROR(INDEX(Catálogo!$D$5:$D$34,MATCH(E48,Catálogo!$C$5:$C$34,0)),""))</f>
        <v/>
      </c>
      <c r="H48" s="10" t="str">
        <f aca="false">IF(OR(F48="",G48=""),"",F48*G48)</f>
        <v/>
      </c>
      <c r="I48" s="8"/>
      <c r="J48" s="7"/>
      <c r="K48" s="8"/>
      <c r="L48" s="8"/>
      <c r="M48" s="11"/>
      <c r="N48" s="10" t="str">
        <f aca="false">IF(H48="","",IF(K48="Cancelado",0,H48-M48))</f>
        <v/>
      </c>
      <c r="O48" s="10" t="str">
        <f aca="false">IF(OR(F48="",E48=""),"",IFERROR(IF(INDEX(Catálogo!$E$5:$E$34,MATCH(E48,Catálogo!$C$5:$C$34,0))=0,"",F48*INDEX(Catálogo!$E$5:$E$34,MATCH(E48,Catálogo!$C$5:$C$34,0))),""))</f>
        <v/>
      </c>
      <c r="P48" s="10" t="str">
        <f aca="false">IF(OR(H48="",O48=""),"",H48-O48)</f>
        <v/>
      </c>
      <c r="Q48" s="8"/>
      <c r="R48" s="6" t="str">
        <f aca="false">IF(J48="","",YEAR(J48))</f>
        <v/>
      </c>
      <c r="S48" s="6" t="str">
        <f aca="false">IF(J48="","",MONTH(J48))</f>
        <v/>
      </c>
    </row>
    <row r="49" customFormat="false" ht="15" hidden="false" customHeight="false" outlineLevel="0" collapsed="false">
      <c r="A49" s="6" t="str">
        <f aca="false">IF(C49="","",ROW()-5)</f>
        <v/>
      </c>
      <c r="B49" s="7"/>
      <c r="C49" s="8"/>
      <c r="D49" s="8"/>
      <c r="E49" s="8"/>
      <c r="F49" s="9"/>
      <c r="G49" s="10" t="str">
        <f aca="false">IF(E49="","",IFERROR(INDEX(Catálogo!$D$5:$D$34,MATCH(E49,Catálogo!$C$5:$C$34,0)),""))</f>
        <v/>
      </c>
      <c r="H49" s="10" t="str">
        <f aca="false">IF(OR(F49="",G49=""),"",F49*G49)</f>
        <v/>
      </c>
      <c r="I49" s="8"/>
      <c r="J49" s="7"/>
      <c r="K49" s="8"/>
      <c r="L49" s="8"/>
      <c r="M49" s="11"/>
      <c r="N49" s="10" t="str">
        <f aca="false">IF(H49="","",IF(K49="Cancelado",0,H49-M49))</f>
        <v/>
      </c>
      <c r="O49" s="10" t="str">
        <f aca="false">IF(OR(F49="",E49=""),"",IFERROR(IF(INDEX(Catálogo!$E$5:$E$34,MATCH(E49,Catálogo!$C$5:$C$34,0))=0,"",F49*INDEX(Catálogo!$E$5:$E$34,MATCH(E49,Catálogo!$C$5:$C$34,0))),""))</f>
        <v/>
      </c>
      <c r="P49" s="10" t="str">
        <f aca="false">IF(OR(H49="",O49=""),"",H49-O49)</f>
        <v/>
      </c>
      <c r="Q49" s="8"/>
      <c r="R49" s="6" t="str">
        <f aca="false">IF(J49="","",YEAR(J49))</f>
        <v/>
      </c>
      <c r="S49" s="6" t="str">
        <f aca="false">IF(J49="","",MONTH(J49))</f>
        <v/>
      </c>
    </row>
    <row r="50" customFormat="false" ht="15" hidden="false" customHeight="false" outlineLevel="0" collapsed="false">
      <c r="A50" s="6" t="str">
        <f aca="false">IF(C50="","",ROW()-5)</f>
        <v/>
      </c>
      <c r="B50" s="7"/>
      <c r="C50" s="8"/>
      <c r="D50" s="8"/>
      <c r="E50" s="8"/>
      <c r="F50" s="9"/>
      <c r="G50" s="10" t="str">
        <f aca="false">IF(E50="","",IFERROR(INDEX(Catálogo!$D$5:$D$34,MATCH(E50,Catálogo!$C$5:$C$34,0)),""))</f>
        <v/>
      </c>
      <c r="H50" s="10" t="str">
        <f aca="false">IF(OR(F50="",G50=""),"",F50*G50)</f>
        <v/>
      </c>
      <c r="I50" s="8"/>
      <c r="J50" s="7"/>
      <c r="K50" s="8"/>
      <c r="L50" s="8"/>
      <c r="M50" s="11"/>
      <c r="N50" s="10" t="str">
        <f aca="false">IF(H50="","",IF(K50="Cancelado",0,H50-M50))</f>
        <v/>
      </c>
      <c r="O50" s="10" t="str">
        <f aca="false">IF(OR(F50="",E50=""),"",IFERROR(IF(INDEX(Catálogo!$E$5:$E$34,MATCH(E50,Catálogo!$C$5:$C$34,0))=0,"",F50*INDEX(Catálogo!$E$5:$E$34,MATCH(E50,Catálogo!$C$5:$C$34,0))),""))</f>
        <v/>
      </c>
      <c r="P50" s="10" t="str">
        <f aca="false">IF(OR(H50="",O50=""),"",H50-O50)</f>
        <v/>
      </c>
      <c r="Q50" s="8"/>
      <c r="R50" s="6" t="str">
        <f aca="false">IF(J50="","",YEAR(J50))</f>
        <v/>
      </c>
      <c r="S50" s="6" t="str">
        <f aca="false">IF(J50="","",MONTH(J50))</f>
        <v/>
      </c>
    </row>
    <row r="51" customFormat="false" ht="15" hidden="false" customHeight="false" outlineLevel="0" collapsed="false">
      <c r="A51" s="6" t="str">
        <f aca="false">IF(C51="","",ROW()-5)</f>
        <v/>
      </c>
      <c r="B51" s="7"/>
      <c r="C51" s="8"/>
      <c r="D51" s="8"/>
      <c r="E51" s="8"/>
      <c r="F51" s="9"/>
      <c r="G51" s="10" t="str">
        <f aca="false">IF(E51="","",IFERROR(INDEX(Catálogo!$D$5:$D$34,MATCH(E51,Catálogo!$C$5:$C$34,0)),""))</f>
        <v/>
      </c>
      <c r="H51" s="10" t="str">
        <f aca="false">IF(OR(F51="",G51=""),"",F51*G51)</f>
        <v/>
      </c>
      <c r="I51" s="8"/>
      <c r="J51" s="7"/>
      <c r="K51" s="8"/>
      <c r="L51" s="8"/>
      <c r="M51" s="11"/>
      <c r="N51" s="10" t="str">
        <f aca="false">IF(H51="","",IF(K51="Cancelado",0,H51-M51))</f>
        <v/>
      </c>
      <c r="O51" s="10" t="str">
        <f aca="false">IF(OR(F51="",E51=""),"",IFERROR(IF(INDEX(Catálogo!$E$5:$E$34,MATCH(E51,Catálogo!$C$5:$C$34,0))=0,"",F51*INDEX(Catálogo!$E$5:$E$34,MATCH(E51,Catálogo!$C$5:$C$34,0))),""))</f>
        <v/>
      </c>
      <c r="P51" s="10" t="str">
        <f aca="false">IF(OR(H51="",O51=""),"",H51-O51)</f>
        <v/>
      </c>
      <c r="Q51" s="8"/>
      <c r="R51" s="6" t="str">
        <f aca="false">IF(J51="","",YEAR(J51))</f>
        <v/>
      </c>
      <c r="S51" s="6" t="str">
        <f aca="false">IF(J51="","",MONTH(J51))</f>
        <v/>
      </c>
    </row>
    <row r="52" customFormat="false" ht="15" hidden="false" customHeight="false" outlineLevel="0" collapsed="false">
      <c r="A52" s="6" t="str">
        <f aca="false">IF(C52="","",ROW()-5)</f>
        <v/>
      </c>
      <c r="B52" s="7"/>
      <c r="C52" s="8"/>
      <c r="D52" s="8"/>
      <c r="E52" s="8"/>
      <c r="F52" s="9"/>
      <c r="G52" s="10" t="str">
        <f aca="false">IF(E52="","",IFERROR(INDEX(Catálogo!$D$5:$D$34,MATCH(E52,Catálogo!$C$5:$C$34,0)),""))</f>
        <v/>
      </c>
      <c r="H52" s="10" t="str">
        <f aca="false">IF(OR(F52="",G52=""),"",F52*G52)</f>
        <v/>
      </c>
      <c r="I52" s="8"/>
      <c r="J52" s="7"/>
      <c r="K52" s="8"/>
      <c r="L52" s="8"/>
      <c r="M52" s="11"/>
      <c r="N52" s="10" t="str">
        <f aca="false">IF(H52="","",IF(K52="Cancelado",0,H52-M52))</f>
        <v/>
      </c>
      <c r="O52" s="10" t="str">
        <f aca="false">IF(OR(F52="",E52=""),"",IFERROR(IF(INDEX(Catálogo!$E$5:$E$34,MATCH(E52,Catálogo!$C$5:$C$34,0))=0,"",F52*INDEX(Catálogo!$E$5:$E$34,MATCH(E52,Catálogo!$C$5:$C$34,0))),""))</f>
        <v/>
      </c>
      <c r="P52" s="10" t="str">
        <f aca="false">IF(OR(H52="",O52=""),"",H52-O52)</f>
        <v/>
      </c>
      <c r="Q52" s="8"/>
      <c r="R52" s="6" t="str">
        <f aca="false">IF(J52="","",YEAR(J52))</f>
        <v/>
      </c>
      <c r="S52" s="6" t="str">
        <f aca="false">IF(J52="","",MONTH(J52))</f>
        <v/>
      </c>
    </row>
    <row r="53" customFormat="false" ht="15" hidden="false" customHeight="false" outlineLevel="0" collapsed="false">
      <c r="A53" s="6" t="str">
        <f aca="false">IF(C53="","",ROW()-5)</f>
        <v/>
      </c>
      <c r="B53" s="7"/>
      <c r="C53" s="8"/>
      <c r="D53" s="8"/>
      <c r="E53" s="8"/>
      <c r="F53" s="9"/>
      <c r="G53" s="10" t="str">
        <f aca="false">IF(E53="","",IFERROR(INDEX(Catálogo!$D$5:$D$34,MATCH(E53,Catálogo!$C$5:$C$34,0)),""))</f>
        <v/>
      </c>
      <c r="H53" s="10" t="str">
        <f aca="false">IF(OR(F53="",G53=""),"",F53*G53)</f>
        <v/>
      </c>
      <c r="I53" s="8"/>
      <c r="J53" s="7"/>
      <c r="K53" s="8"/>
      <c r="L53" s="8"/>
      <c r="M53" s="11"/>
      <c r="N53" s="10" t="str">
        <f aca="false">IF(H53="","",IF(K53="Cancelado",0,H53-M53))</f>
        <v/>
      </c>
      <c r="O53" s="10" t="str">
        <f aca="false">IF(OR(F53="",E53=""),"",IFERROR(IF(INDEX(Catálogo!$E$5:$E$34,MATCH(E53,Catálogo!$C$5:$C$34,0))=0,"",F53*INDEX(Catálogo!$E$5:$E$34,MATCH(E53,Catálogo!$C$5:$C$34,0))),""))</f>
        <v/>
      </c>
      <c r="P53" s="10" t="str">
        <f aca="false">IF(OR(H53="",O53=""),"",H53-O53)</f>
        <v/>
      </c>
      <c r="Q53" s="8"/>
      <c r="R53" s="6" t="str">
        <f aca="false">IF(J53="","",YEAR(J53))</f>
        <v/>
      </c>
      <c r="S53" s="6" t="str">
        <f aca="false">IF(J53="","",MONTH(J53))</f>
        <v/>
      </c>
    </row>
    <row r="54" customFormat="false" ht="15" hidden="false" customHeight="false" outlineLevel="0" collapsed="false">
      <c r="A54" s="6" t="str">
        <f aca="false">IF(C54="","",ROW()-5)</f>
        <v/>
      </c>
      <c r="B54" s="7"/>
      <c r="C54" s="8"/>
      <c r="D54" s="8"/>
      <c r="E54" s="8"/>
      <c r="F54" s="9"/>
      <c r="G54" s="10" t="str">
        <f aca="false">IF(E54="","",IFERROR(INDEX(Catálogo!$D$5:$D$34,MATCH(E54,Catálogo!$C$5:$C$34,0)),""))</f>
        <v/>
      </c>
      <c r="H54" s="10" t="str">
        <f aca="false">IF(OR(F54="",G54=""),"",F54*G54)</f>
        <v/>
      </c>
      <c r="I54" s="8"/>
      <c r="J54" s="7"/>
      <c r="K54" s="8"/>
      <c r="L54" s="8"/>
      <c r="M54" s="11"/>
      <c r="N54" s="10" t="str">
        <f aca="false">IF(H54="","",IF(K54="Cancelado",0,H54-M54))</f>
        <v/>
      </c>
      <c r="O54" s="10" t="str">
        <f aca="false">IF(OR(F54="",E54=""),"",IFERROR(IF(INDEX(Catálogo!$E$5:$E$34,MATCH(E54,Catálogo!$C$5:$C$34,0))=0,"",F54*INDEX(Catálogo!$E$5:$E$34,MATCH(E54,Catálogo!$C$5:$C$34,0))),""))</f>
        <v/>
      </c>
      <c r="P54" s="10" t="str">
        <f aca="false">IF(OR(H54="",O54=""),"",H54-O54)</f>
        <v/>
      </c>
      <c r="Q54" s="8"/>
      <c r="R54" s="6" t="str">
        <f aca="false">IF(J54="","",YEAR(J54))</f>
        <v/>
      </c>
      <c r="S54" s="6" t="str">
        <f aca="false">IF(J54="","",MONTH(J54))</f>
        <v/>
      </c>
    </row>
    <row r="55" customFormat="false" ht="15" hidden="false" customHeight="false" outlineLevel="0" collapsed="false">
      <c r="A55" s="6" t="str">
        <f aca="false">IF(C55="","",ROW()-5)</f>
        <v/>
      </c>
      <c r="B55" s="7"/>
      <c r="C55" s="8"/>
      <c r="D55" s="8"/>
      <c r="E55" s="8"/>
      <c r="F55" s="9"/>
      <c r="G55" s="10" t="str">
        <f aca="false">IF(E55="","",IFERROR(INDEX(Catálogo!$D$5:$D$34,MATCH(E55,Catálogo!$C$5:$C$34,0)),""))</f>
        <v/>
      </c>
      <c r="H55" s="10" t="str">
        <f aca="false">IF(OR(F55="",G55=""),"",F55*G55)</f>
        <v/>
      </c>
      <c r="I55" s="8"/>
      <c r="J55" s="7"/>
      <c r="K55" s="8"/>
      <c r="L55" s="8"/>
      <c r="M55" s="11"/>
      <c r="N55" s="10" t="str">
        <f aca="false">IF(H55="","",IF(K55="Cancelado",0,H55-M55))</f>
        <v/>
      </c>
      <c r="O55" s="10" t="str">
        <f aca="false">IF(OR(F55="",E55=""),"",IFERROR(IF(INDEX(Catálogo!$E$5:$E$34,MATCH(E55,Catálogo!$C$5:$C$34,0))=0,"",F55*INDEX(Catálogo!$E$5:$E$34,MATCH(E55,Catálogo!$C$5:$C$34,0))),""))</f>
        <v/>
      </c>
      <c r="P55" s="10" t="str">
        <f aca="false">IF(OR(H55="",O55=""),"",H55-O55)</f>
        <v/>
      </c>
      <c r="Q55" s="8"/>
      <c r="R55" s="6" t="str">
        <f aca="false">IF(J55="","",YEAR(J55))</f>
        <v/>
      </c>
      <c r="S55" s="6" t="str">
        <f aca="false">IF(J55="","",MONTH(J55))</f>
        <v/>
      </c>
    </row>
    <row r="56" customFormat="false" ht="15" hidden="false" customHeight="false" outlineLevel="0" collapsed="false">
      <c r="A56" s="6" t="str">
        <f aca="false">IF(C56="","",ROW()-5)</f>
        <v/>
      </c>
      <c r="B56" s="7"/>
      <c r="C56" s="8"/>
      <c r="D56" s="8"/>
      <c r="E56" s="8"/>
      <c r="F56" s="9"/>
      <c r="G56" s="10" t="str">
        <f aca="false">IF(E56="","",IFERROR(INDEX(Catálogo!$D$5:$D$34,MATCH(E56,Catálogo!$C$5:$C$34,0)),""))</f>
        <v/>
      </c>
      <c r="H56" s="10" t="str">
        <f aca="false">IF(OR(F56="",G56=""),"",F56*G56)</f>
        <v/>
      </c>
      <c r="I56" s="8"/>
      <c r="J56" s="7"/>
      <c r="K56" s="8"/>
      <c r="L56" s="8"/>
      <c r="M56" s="11"/>
      <c r="N56" s="10" t="str">
        <f aca="false">IF(H56="","",IF(K56="Cancelado",0,H56-M56))</f>
        <v/>
      </c>
      <c r="O56" s="10" t="str">
        <f aca="false">IF(OR(F56="",E56=""),"",IFERROR(IF(INDEX(Catálogo!$E$5:$E$34,MATCH(E56,Catálogo!$C$5:$C$34,0))=0,"",F56*INDEX(Catálogo!$E$5:$E$34,MATCH(E56,Catálogo!$C$5:$C$34,0))),""))</f>
        <v/>
      </c>
      <c r="P56" s="10" t="str">
        <f aca="false">IF(OR(H56="",O56=""),"",H56-O56)</f>
        <v/>
      </c>
      <c r="Q56" s="8"/>
      <c r="R56" s="6" t="str">
        <f aca="false">IF(J56="","",YEAR(J56))</f>
        <v/>
      </c>
      <c r="S56" s="6" t="str">
        <f aca="false">IF(J56="","",MONTH(J56))</f>
        <v/>
      </c>
    </row>
    <row r="57" customFormat="false" ht="15" hidden="false" customHeight="false" outlineLevel="0" collapsed="false">
      <c r="A57" s="6" t="str">
        <f aca="false">IF(C57="","",ROW()-5)</f>
        <v/>
      </c>
      <c r="B57" s="7"/>
      <c r="C57" s="8"/>
      <c r="D57" s="8"/>
      <c r="E57" s="8"/>
      <c r="F57" s="9"/>
      <c r="G57" s="10" t="str">
        <f aca="false">IF(E57="","",IFERROR(INDEX(Catálogo!$D$5:$D$34,MATCH(E57,Catálogo!$C$5:$C$34,0)),""))</f>
        <v/>
      </c>
      <c r="H57" s="10" t="str">
        <f aca="false">IF(OR(F57="",G57=""),"",F57*G57)</f>
        <v/>
      </c>
      <c r="I57" s="8"/>
      <c r="J57" s="7"/>
      <c r="K57" s="8"/>
      <c r="L57" s="8"/>
      <c r="M57" s="11"/>
      <c r="N57" s="10" t="str">
        <f aca="false">IF(H57="","",IF(K57="Cancelado",0,H57-M57))</f>
        <v/>
      </c>
      <c r="O57" s="10" t="str">
        <f aca="false">IF(OR(F57="",E57=""),"",IFERROR(IF(INDEX(Catálogo!$E$5:$E$34,MATCH(E57,Catálogo!$C$5:$C$34,0))=0,"",F57*INDEX(Catálogo!$E$5:$E$34,MATCH(E57,Catálogo!$C$5:$C$34,0))),""))</f>
        <v/>
      </c>
      <c r="P57" s="10" t="str">
        <f aca="false">IF(OR(H57="",O57=""),"",H57-O57)</f>
        <v/>
      </c>
      <c r="Q57" s="8"/>
      <c r="R57" s="6" t="str">
        <f aca="false">IF(J57="","",YEAR(J57))</f>
        <v/>
      </c>
      <c r="S57" s="6" t="str">
        <f aca="false">IF(J57="","",MONTH(J57))</f>
        <v/>
      </c>
    </row>
    <row r="58" customFormat="false" ht="15" hidden="false" customHeight="false" outlineLevel="0" collapsed="false">
      <c r="A58" s="6" t="str">
        <f aca="false">IF(C58="","",ROW()-5)</f>
        <v/>
      </c>
      <c r="B58" s="7"/>
      <c r="C58" s="8"/>
      <c r="D58" s="8"/>
      <c r="E58" s="8"/>
      <c r="F58" s="9"/>
      <c r="G58" s="10" t="str">
        <f aca="false">IF(E58="","",IFERROR(INDEX(Catálogo!$D$5:$D$34,MATCH(E58,Catálogo!$C$5:$C$34,0)),""))</f>
        <v/>
      </c>
      <c r="H58" s="10" t="str">
        <f aca="false">IF(OR(F58="",G58=""),"",F58*G58)</f>
        <v/>
      </c>
      <c r="I58" s="8"/>
      <c r="J58" s="7"/>
      <c r="K58" s="8"/>
      <c r="L58" s="8"/>
      <c r="M58" s="11"/>
      <c r="N58" s="10" t="str">
        <f aca="false">IF(H58="","",IF(K58="Cancelado",0,H58-M58))</f>
        <v/>
      </c>
      <c r="O58" s="10" t="str">
        <f aca="false">IF(OR(F58="",E58=""),"",IFERROR(IF(INDEX(Catálogo!$E$5:$E$34,MATCH(E58,Catálogo!$C$5:$C$34,0))=0,"",F58*INDEX(Catálogo!$E$5:$E$34,MATCH(E58,Catálogo!$C$5:$C$34,0))),""))</f>
        <v/>
      </c>
      <c r="P58" s="10" t="str">
        <f aca="false">IF(OR(H58="",O58=""),"",H58-O58)</f>
        <v/>
      </c>
      <c r="Q58" s="8"/>
      <c r="R58" s="6" t="str">
        <f aca="false">IF(J58="","",YEAR(J58))</f>
        <v/>
      </c>
      <c r="S58" s="6" t="str">
        <f aca="false">IF(J58="","",MONTH(J58))</f>
        <v/>
      </c>
    </row>
    <row r="59" customFormat="false" ht="15" hidden="false" customHeight="false" outlineLevel="0" collapsed="false">
      <c r="A59" s="6" t="str">
        <f aca="false">IF(C59="","",ROW()-5)</f>
        <v/>
      </c>
      <c r="B59" s="7"/>
      <c r="C59" s="8"/>
      <c r="D59" s="8"/>
      <c r="E59" s="8"/>
      <c r="F59" s="9"/>
      <c r="G59" s="10" t="str">
        <f aca="false">IF(E59="","",IFERROR(INDEX(Catálogo!$D$5:$D$34,MATCH(E59,Catálogo!$C$5:$C$34,0)),""))</f>
        <v/>
      </c>
      <c r="H59" s="10" t="str">
        <f aca="false">IF(OR(F59="",G59=""),"",F59*G59)</f>
        <v/>
      </c>
      <c r="I59" s="8"/>
      <c r="J59" s="7"/>
      <c r="K59" s="8"/>
      <c r="L59" s="8"/>
      <c r="M59" s="11"/>
      <c r="N59" s="10" t="str">
        <f aca="false">IF(H59="","",IF(K59="Cancelado",0,H59-M59))</f>
        <v/>
      </c>
      <c r="O59" s="10" t="str">
        <f aca="false">IF(OR(F59="",E59=""),"",IFERROR(IF(INDEX(Catálogo!$E$5:$E$34,MATCH(E59,Catálogo!$C$5:$C$34,0))=0,"",F59*INDEX(Catálogo!$E$5:$E$34,MATCH(E59,Catálogo!$C$5:$C$34,0))),""))</f>
        <v/>
      </c>
      <c r="P59" s="10" t="str">
        <f aca="false">IF(OR(H59="",O59=""),"",H59-O59)</f>
        <v/>
      </c>
      <c r="Q59" s="8"/>
      <c r="R59" s="6" t="str">
        <f aca="false">IF(J59="","",YEAR(J59))</f>
        <v/>
      </c>
      <c r="S59" s="6" t="str">
        <f aca="false">IF(J59="","",MONTH(J59))</f>
        <v/>
      </c>
    </row>
    <row r="60" customFormat="false" ht="15" hidden="false" customHeight="false" outlineLevel="0" collapsed="false">
      <c r="A60" s="6" t="str">
        <f aca="false">IF(C60="","",ROW()-5)</f>
        <v/>
      </c>
      <c r="B60" s="7"/>
      <c r="C60" s="8"/>
      <c r="D60" s="8"/>
      <c r="E60" s="8"/>
      <c r="F60" s="9"/>
      <c r="G60" s="10" t="str">
        <f aca="false">IF(E60="","",IFERROR(INDEX(Catálogo!$D$5:$D$34,MATCH(E60,Catálogo!$C$5:$C$34,0)),""))</f>
        <v/>
      </c>
      <c r="H60" s="10" t="str">
        <f aca="false">IF(OR(F60="",G60=""),"",F60*G60)</f>
        <v/>
      </c>
      <c r="I60" s="8"/>
      <c r="J60" s="7"/>
      <c r="K60" s="8"/>
      <c r="L60" s="8"/>
      <c r="M60" s="11"/>
      <c r="N60" s="10" t="str">
        <f aca="false">IF(H60="","",IF(K60="Cancelado",0,H60-M60))</f>
        <v/>
      </c>
      <c r="O60" s="10" t="str">
        <f aca="false">IF(OR(F60="",E60=""),"",IFERROR(IF(INDEX(Catálogo!$E$5:$E$34,MATCH(E60,Catálogo!$C$5:$C$34,0))=0,"",F60*INDEX(Catálogo!$E$5:$E$34,MATCH(E60,Catálogo!$C$5:$C$34,0))),""))</f>
        <v/>
      </c>
      <c r="P60" s="10" t="str">
        <f aca="false">IF(OR(H60="",O60=""),"",H60-O60)</f>
        <v/>
      </c>
      <c r="Q60" s="8"/>
      <c r="R60" s="6" t="str">
        <f aca="false">IF(J60="","",YEAR(J60))</f>
        <v/>
      </c>
      <c r="S60" s="6" t="str">
        <f aca="false">IF(J60="","",MONTH(J60))</f>
        <v/>
      </c>
    </row>
    <row r="61" customFormat="false" ht="15" hidden="false" customHeight="false" outlineLevel="0" collapsed="false">
      <c r="A61" s="6" t="str">
        <f aca="false">IF(C61="","",ROW()-5)</f>
        <v/>
      </c>
      <c r="B61" s="7"/>
      <c r="C61" s="8"/>
      <c r="D61" s="8"/>
      <c r="E61" s="8"/>
      <c r="F61" s="9"/>
      <c r="G61" s="10" t="str">
        <f aca="false">IF(E61="","",IFERROR(INDEX(Catálogo!$D$5:$D$34,MATCH(E61,Catálogo!$C$5:$C$34,0)),""))</f>
        <v/>
      </c>
      <c r="H61" s="10" t="str">
        <f aca="false">IF(OR(F61="",G61=""),"",F61*G61)</f>
        <v/>
      </c>
      <c r="I61" s="8"/>
      <c r="J61" s="7"/>
      <c r="K61" s="8"/>
      <c r="L61" s="8"/>
      <c r="M61" s="11"/>
      <c r="N61" s="10" t="str">
        <f aca="false">IF(H61="","",IF(K61="Cancelado",0,H61-M61))</f>
        <v/>
      </c>
      <c r="O61" s="10" t="str">
        <f aca="false">IF(OR(F61="",E61=""),"",IFERROR(IF(INDEX(Catálogo!$E$5:$E$34,MATCH(E61,Catálogo!$C$5:$C$34,0))=0,"",F61*INDEX(Catálogo!$E$5:$E$34,MATCH(E61,Catálogo!$C$5:$C$34,0))),""))</f>
        <v/>
      </c>
      <c r="P61" s="10" t="str">
        <f aca="false">IF(OR(H61="",O61=""),"",H61-O61)</f>
        <v/>
      </c>
      <c r="Q61" s="8"/>
      <c r="R61" s="6" t="str">
        <f aca="false">IF(J61="","",YEAR(J61))</f>
        <v/>
      </c>
      <c r="S61" s="6" t="str">
        <f aca="false">IF(J61="","",MONTH(J61))</f>
        <v/>
      </c>
    </row>
    <row r="62" customFormat="false" ht="15" hidden="false" customHeight="false" outlineLevel="0" collapsed="false">
      <c r="A62" s="6" t="str">
        <f aca="false">IF(C62="","",ROW()-5)</f>
        <v/>
      </c>
      <c r="B62" s="7"/>
      <c r="C62" s="8"/>
      <c r="D62" s="8"/>
      <c r="E62" s="8"/>
      <c r="F62" s="9"/>
      <c r="G62" s="10" t="str">
        <f aca="false">IF(E62="","",IFERROR(INDEX(Catálogo!$D$5:$D$34,MATCH(E62,Catálogo!$C$5:$C$34,0)),""))</f>
        <v/>
      </c>
      <c r="H62" s="10" t="str">
        <f aca="false">IF(OR(F62="",G62=""),"",F62*G62)</f>
        <v/>
      </c>
      <c r="I62" s="8"/>
      <c r="J62" s="7"/>
      <c r="K62" s="8"/>
      <c r="L62" s="8"/>
      <c r="M62" s="11"/>
      <c r="N62" s="10" t="str">
        <f aca="false">IF(H62="","",IF(K62="Cancelado",0,H62-M62))</f>
        <v/>
      </c>
      <c r="O62" s="10" t="str">
        <f aca="false">IF(OR(F62="",E62=""),"",IFERROR(IF(INDEX(Catálogo!$E$5:$E$34,MATCH(E62,Catálogo!$C$5:$C$34,0))=0,"",F62*INDEX(Catálogo!$E$5:$E$34,MATCH(E62,Catálogo!$C$5:$C$34,0))),""))</f>
        <v/>
      </c>
      <c r="P62" s="10" t="str">
        <f aca="false">IF(OR(H62="",O62=""),"",H62-O62)</f>
        <v/>
      </c>
      <c r="Q62" s="8"/>
      <c r="R62" s="6" t="str">
        <f aca="false">IF(J62="","",YEAR(J62))</f>
        <v/>
      </c>
      <c r="S62" s="6" t="str">
        <f aca="false">IF(J62="","",MONTH(J62))</f>
        <v/>
      </c>
    </row>
    <row r="63" customFormat="false" ht="15" hidden="false" customHeight="false" outlineLevel="0" collapsed="false">
      <c r="A63" s="6" t="str">
        <f aca="false">IF(C63="","",ROW()-5)</f>
        <v/>
      </c>
      <c r="B63" s="7"/>
      <c r="C63" s="8"/>
      <c r="D63" s="8"/>
      <c r="E63" s="8"/>
      <c r="F63" s="9"/>
      <c r="G63" s="10" t="str">
        <f aca="false">IF(E63="","",IFERROR(INDEX(Catálogo!$D$5:$D$34,MATCH(E63,Catálogo!$C$5:$C$34,0)),""))</f>
        <v/>
      </c>
      <c r="H63" s="10" t="str">
        <f aca="false">IF(OR(F63="",G63=""),"",F63*G63)</f>
        <v/>
      </c>
      <c r="I63" s="8"/>
      <c r="J63" s="7"/>
      <c r="K63" s="8"/>
      <c r="L63" s="8"/>
      <c r="M63" s="11"/>
      <c r="N63" s="10" t="str">
        <f aca="false">IF(H63="","",IF(K63="Cancelado",0,H63-M63))</f>
        <v/>
      </c>
      <c r="O63" s="10" t="str">
        <f aca="false">IF(OR(F63="",E63=""),"",IFERROR(IF(INDEX(Catálogo!$E$5:$E$34,MATCH(E63,Catálogo!$C$5:$C$34,0))=0,"",F63*INDEX(Catálogo!$E$5:$E$34,MATCH(E63,Catálogo!$C$5:$C$34,0))),""))</f>
        <v/>
      </c>
      <c r="P63" s="10" t="str">
        <f aca="false">IF(OR(H63="",O63=""),"",H63-O63)</f>
        <v/>
      </c>
      <c r="Q63" s="8"/>
      <c r="R63" s="6" t="str">
        <f aca="false">IF(J63="","",YEAR(J63))</f>
        <v/>
      </c>
      <c r="S63" s="6" t="str">
        <f aca="false">IF(J63="","",MONTH(J63))</f>
        <v/>
      </c>
    </row>
    <row r="64" customFormat="false" ht="15" hidden="false" customHeight="false" outlineLevel="0" collapsed="false">
      <c r="A64" s="6" t="str">
        <f aca="false">IF(C64="","",ROW()-5)</f>
        <v/>
      </c>
      <c r="B64" s="7"/>
      <c r="C64" s="8"/>
      <c r="D64" s="8"/>
      <c r="E64" s="8"/>
      <c r="F64" s="9"/>
      <c r="G64" s="10" t="str">
        <f aca="false">IF(E64="","",IFERROR(INDEX(Catálogo!$D$5:$D$34,MATCH(E64,Catálogo!$C$5:$C$34,0)),""))</f>
        <v/>
      </c>
      <c r="H64" s="10" t="str">
        <f aca="false">IF(OR(F64="",G64=""),"",F64*G64)</f>
        <v/>
      </c>
      <c r="I64" s="8"/>
      <c r="J64" s="7"/>
      <c r="K64" s="8"/>
      <c r="L64" s="8"/>
      <c r="M64" s="11"/>
      <c r="N64" s="10" t="str">
        <f aca="false">IF(H64="","",IF(K64="Cancelado",0,H64-M64))</f>
        <v/>
      </c>
      <c r="O64" s="10" t="str">
        <f aca="false">IF(OR(F64="",E64=""),"",IFERROR(IF(INDEX(Catálogo!$E$5:$E$34,MATCH(E64,Catálogo!$C$5:$C$34,0))=0,"",F64*INDEX(Catálogo!$E$5:$E$34,MATCH(E64,Catálogo!$C$5:$C$34,0))),""))</f>
        <v/>
      </c>
      <c r="P64" s="10" t="str">
        <f aca="false">IF(OR(H64="",O64=""),"",H64-O64)</f>
        <v/>
      </c>
      <c r="Q64" s="8"/>
      <c r="R64" s="6" t="str">
        <f aca="false">IF(J64="","",YEAR(J64))</f>
        <v/>
      </c>
      <c r="S64" s="6" t="str">
        <f aca="false">IF(J64="","",MONTH(J64))</f>
        <v/>
      </c>
    </row>
    <row r="65" customFormat="false" ht="15" hidden="false" customHeight="false" outlineLevel="0" collapsed="false">
      <c r="A65" s="6" t="str">
        <f aca="false">IF(C65="","",ROW()-5)</f>
        <v/>
      </c>
      <c r="B65" s="7"/>
      <c r="C65" s="8"/>
      <c r="D65" s="8"/>
      <c r="E65" s="8"/>
      <c r="F65" s="9"/>
      <c r="G65" s="10" t="str">
        <f aca="false">IF(E65="","",IFERROR(INDEX(Catálogo!$D$5:$D$34,MATCH(E65,Catálogo!$C$5:$C$34,0)),""))</f>
        <v/>
      </c>
      <c r="H65" s="10" t="str">
        <f aca="false">IF(OR(F65="",G65=""),"",F65*G65)</f>
        <v/>
      </c>
      <c r="I65" s="8"/>
      <c r="J65" s="7"/>
      <c r="K65" s="8"/>
      <c r="L65" s="8"/>
      <c r="M65" s="11"/>
      <c r="N65" s="10" t="str">
        <f aca="false">IF(H65="","",IF(K65="Cancelado",0,H65-M65))</f>
        <v/>
      </c>
      <c r="O65" s="10" t="str">
        <f aca="false">IF(OR(F65="",E65=""),"",IFERROR(IF(INDEX(Catálogo!$E$5:$E$34,MATCH(E65,Catálogo!$C$5:$C$34,0))=0,"",F65*INDEX(Catálogo!$E$5:$E$34,MATCH(E65,Catálogo!$C$5:$C$34,0))),""))</f>
        <v/>
      </c>
      <c r="P65" s="10" t="str">
        <f aca="false">IF(OR(H65="",O65=""),"",H65-O65)</f>
        <v/>
      </c>
      <c r="Q65" s="8"/>
      <c r="R65" s="6" t="str">
        <f aca="false">IF(J65="","",YEAR(J65))</f>
        <v/>
      </c>
      <c r="S65" s="6" t="str">
        <f aca="false">IF(J65="","",MONTH(J65))</f>
        <v/>
      </c>
    </row>
    <row r="66" customFormat="false" ht="15" hidden="false" customHeight="false" outlineLevel="0" collapsed="false">
      <c r="A66" s="6" t="str">
        <f aca="false">IF(C66="","",ROW()-5)</f>
        <v/>
      </c>
      <c r="B66" s="7"/>
      <c r="C66" s="8"/>
      <c r="D66" s="8"/>
      <c r="E66" s="8"/>
      <c r="F66" s="9"/>
      <c r="G66" s="10" t="str">
        <f aca="false">IF(E66="","",IFERROR(INDEX(Catálogo!$D$5:$D$34,MATCH(E66,Catálogo!$C$5:$C$34,0)),""))</f>
        <v/>
      </c>
      <c r="H66" s="10" t="str">
        <f aca="false">IF(OR(F66="",G66=""),"",F66*G66)</f>
        <v/>
      </c>
      <c r="I66" s="8"/>
      <c r="J66" s="7"/>
      <c r="K66" s="8"/>
      <c r="L66" s="8"/>
      <c r="M66" s="11"/>
      <c r="N66" s="10" t="str">
        <f aca="false">IF(H66="","",IF(K66="Cancelado",0,H66-M66))</f>
        <v/>
      </c>
      <c r="O66" s="10" t="str">
        <f aca="false">IF(OR(F66="",E66=""),"",IFERROR(IF(INDEX(Catálogo!$E$5:$E$34,MATCH(E66,Catálogo!$C$5:$C$34,0))=0,"",F66*INDEX(Catálogo!$E$5:$E$34,MATCH(E66,Catálogo!$C$5:$C$34,0))),""))</f>
        <v/>
      </c>
      <c r="P66" s="10" t="str">
        <f aca="false">IF(OR(H66="",O66=""),"",H66-O66)</f>
        <v/>
      </c>
      <c r="Q66" s="8"/>
      <c r="R66" s="6" t="str">
        <f aca="false">IF(J66="","",YEAR(J66))</f>
        <v/>
      </c>
      <c r="S66" s="6" t="str">
        <f aca="false">IF(J66="","",MONTH(J66))</f>
        <v/>
      </c>
    </row>
    <row r="67" customFormat="false" ht="15" hidden="false" customHeight="false" outlineLevel="0" collapsed="false">
      <c r="A67" s="6" t="str">
        <f aca="false">IF(C67="","",ROW()-5)</f>
        <v/>
      </c>
      <c r="B67" s="7"/>
      <c r="C67" s="8"/>
      <c r="D67" s="8"/>
      <c r="E67" s="8"/>
      <c r="F67" s="9"/>
      <c r="G67" s="10" t="str">
        <f aca="false">IF(E67="","",IFERROR(INDEX(Catálogo!$D$5:$D$34,MATCH(E67,Catálogo!$C$5:$C$34,0)),""))</f>
        <v/>
      </c>
      <c r="H67" s="10" t="str">
        <f aca="false">IF(OR(F67="",G67=""),"",F67*G67)</f>
        <v/>
      </c>
      <c r="I67" s="8"/>
      <c r="J67" s="7"/>
      <c r="K67" s="8"/>
      <c r="L67" s="8"/>
      <c r="M67" s="11"/>
      <c r="N67" s="10" t="str">
        <f aca="false">IF(H67="","",IF(K67="Cancelado",0,H67-M67))</f>
        <v/>
      </c>
      <c r="O67" s="10" t="str">
        <f aca="false">IF(OR(F67="",E67=""),"",IFERROR(IF(INDEX(Catálogo!$E$5:$E$34,MATCH(E67,Catálogo!$C$5:$C$34,0))=0,"",F67*INDEX(Catálogo!$E$5:$E$34,MATCH(E67,Catálogo!$C$5:$C$34,0))),""))</f>
        <v/>
      </c>
      <c r="P67" s="10" t="str">
        <f aca="false">IF(OR(H67="",O67=""),"",H67-O67)</f>
        <v/>
      </c>
      <c r="Q67" s="8"/>
      <c r="R67" s="6" t="str">
        <f aca="false">IF(J67="","",YEAR(J67))</f>
        <v/>
      </c>
      <c r="S67" s="6" t="str">
        <f aca="false">IF(J67="","",MONTH(J67))</f>
        <v/>
      </c>
    </row>
    <row r="68" customFormat="false" ht="15" hidden="false" customHeight="false" outlineLevel="0" collapsed="false">
      <c r="A68" s="6" t="str">
        <f aca="false">IF(C68="","",ROW()-5)</f>
        <v/>
      </c>
      <c r="B68" s="7"/>
      <c r="C68" s="8"/>
      <c r="D68" s="8"/>
      <c r="E68" s="8"/>
      <c r="F68" s="9"/>
      <c r="G68" s="10" t="str">
        <f aca="false">IF(E68="","",IFERROR(INDEX(Catálogo!$D$5:$D$34,MATCH(E68,Catálogo!$C$5:$C$34,0)),""))</f>
        <v/>
      </c>
      <c r="H68" s="10" t="str">
        <f aca="false">IF(OR(F68="",G68=""),"",F68*G68)</f>
        <v/>
      </c>
      <c r="I68" s="8"/>
      <c r="J68" s="7"/>
      <c r="K68" s="8"/>
      <c r="L68" s="8"/>
      <c r="M68" s="11"/>
      <c r="N68" s="10" t="str">
        <f aca="false">IF(H68="","",IF(K68="Cancelado",0,H68-M68))</f>
        <v/>
      </c>
      <c r="O68" s="10" t="str">
        <f aca="false">IF(OR(F68="",E68=""),"",IFERROR(IF(INDEX(Catálogo!$E$5:$E$34,MATCH(E68,Catálogo!$C$5:$C$34,0))=0,"",F68*INDEX(Catálogo!$E$5:$E$34,MATCH(E68,Catálogo!$C$5:$C$34,0))),""))</f>
        <v/>
      </c>
      <c r="P68" s="10" t="str">
        <f aca="false">IF(OR(H68="",O68=""),"",H68-O68)</f>
        <v/>
      </c>
      <c r="Q68" s="8"/>
      <c r="R68" s="6" t="str">
        <f aca="false">IF(J68="","",YEAR(J68))</f>
        <v/>
      </c>
      <c r="S68" s="6" t="str">
        <f aca="false">IF(J68="","",MONTH(J68))</f>
        <v/>
      </c>
    </row>
    <row r="69" customFormat="false" ht="15" hidden="false" customHeight="false" outlineLevel="0" collapsed="false">
      <c r="A69" s="6" t="str">
        <f aca="false">IF(C69="","",ROW()-5)</f>
        <v/>
      </c>
      <c r="B69" s="7"/>
      <c r="C69" s="8"/>
      <c r="D69" s="8"/>
      <c r="E69" s="8"/>
      <c r="F69" s="9"/>
      <c r="G69" s="10" t="str">
        <f aca="false">IF(E69="","",IFERROR(INDEX(Catálogo!$D$5:$D$34,MATCH(E69,Catálogo!$C$5:$C$34,0)),""))</f>
        <v/>
      </c>
      <c r="H69" s="10" t="str">
        <f aca="false">IF(OR(F69="",G69=""),"",F69*G69)</f>
        <v/>
      </c>
      <c r="I69" s="8"/>
      <c r="J69" s="7"/>
      <c r="K69" s="8"/>
      <c r="L69" s="8"/>
      <c r="M69" s="11"/>
      <c r="N69" s="10" t="str">
        <f aca="false">IF(H69="","",IF(K69="Cancelado",0,H69-M69))</f>
        <v/>
      </c>
      <c r="O69" s="10" t="str">
        <f aca="false">IF(OR(F69="",E69=""),"",IFERROR(IF(INDEX(Catálogo!$E$5:$E$34,MATCH(E69,Catálogo!$C$5:$C$34,0))=0,"",F69*INDEX(Catálogo!$E$5:$E$34,MATCH(E69,Catálogo!$C$5:$C$34,0))),""))</f>
        <v/>
      </c>
      <c r="P69" s="10" t="str">
        <f aca="false">IF(OR(H69="",O69=""),"",H69-O69)</f>
        <v/>
      </c>
      <c r="Q69" s="8"/>
      <c r="R69" s="6" t="str">
        <f aca="false">IF(J69="","",YEAR(J69))</f>
        <v/>
      </c>
      <c r="S69" s="6" t="str">
        <f aca="false">IF(J69="","",MONTH(J69))</f>
        <v/>
      </c>
    </row>
    <row r="70" customFormat="false" ht="15" hidden="false" customHeight="false" outlineLevel="0" collapsed="false">
      <c r="A70" s="6" t="str">
        <f aca="false">IF(C70="","",ROW()-5)</f>
        <v/>
      </c>
      <c r="B70" s="7"/>
      <c r="C70" s="8"/>
      <c r="D70" s="8"/>
      <c r="E70" s="8"/>
      <c r="F70" s="9"/>
      <c r="G70" s="10" t="str">
        <f aca="false">IF(E70="","",IFERROR(INDEX(Catálogo!$D$5:$D$34,MATCH(E70,Catálogo!$C$5:$C$34,0)),""))</f>
        <v/>
      </c>
      <c r="H70" s="10" t="str">
        <f aca="false">IF(OR(F70="",G70=""),"",F70*G70)</f>
        <v/>
      </c>
      <c r="I70" s="8"/>
      <c r="J70" s="7"/>
      <c r="K70" s="8"/>
      <c r="L70" s="8"/>
      <c r="M70" s="11"/>
      <c r="N70" s="10" t="str">
        <f aca="false">IF(H70="","",IF(K70="Cancelado",0,H70-M70))</f>
        <v/>
      </c>
      <c r="O70" s="10" t="str">
        <f aca="false">IF(OR(F70="",E70=""),"",IFERROR(IF(INDEX(Catálogo!$E$5:$E$34,MATCH(E70,Catálogo!$C$5:$C$34,0))=0,"",F70*INDEX(Catálogo!$E$5:$E$34,MATCH(E70,Catálogo!$C$5:$C$34,0))),""))</f>
        <v/>
      </c>
      <c r="P70" s="10" t="str">
        <f aca="false">IF(OR(H70="",O70=""),"",H70-O70)</f>
        <v/>
      </c>
      <c r="Q70" s="8"/>
      <c r="R70" s="6" t="str">
        <f aca="false">IF(J70="","",YEAR(J70))</f>
        <v/>
      </c>
      <c r="S70" s="6" t="str">
        <f aca="false">IF(J70="","",MONTH(J70))</f>
        <v/>
      </c>
    </row>
    <row r="71" customFormat="false" ht="15" hidden="false" customHeight="false" outlineLevel="0" collapsed="false">
      <c r="A71" s="6" t="str">
        <f aca="false">IF(C71="","",ROW()-5)</f>
        <v/>
      </c>
      <c r="B71" s="7"/>
      <c r="C71" s="8"/>
      <c r="D71" s="8"/>
      <c r="E71" s="8"/>
      <c r="F71" s="9"/>
      <c r="G71" s="10" t="str">
        <f aca="false">IF(E71="","",IFERROR(INDEX(Catálogo!$D$5:$D$34,MATCH(E71,Catálogo!$C$5:$C$34,0)),""))</f>
        <v/>
      </c>
      <c r="H71" s="10" t="str">
        <f aca="false">IF(OR(F71="",G71=""),"",F71*G71)</f>
        <v/>
      </c>
      <c r="I71" s="8"/>
      <c r="J71" s="7"/>
      <c r="K71" s="8"/>
      <c r="L71" s="8"/>
      <c r="M71" s="11"/>
      <c r="N71" s="10" t="str">
        <f aca="false">IF(H71="","",IF(K71="Cancelado",0,H71-M71))</f>
        <v/>
      </c>
      <c r="O71" s="10" t="str">
        <f aca="false">IF(OR(F71="",E71=""),"",IFERROR(IF(INDEX(Catálogo!$E$5:$E$34,MATCH(E71,Catálogo!$C$5:$C$34,0))=0,"",F71*INDEX(Catálogo!$E$5:$E$34,MATCH(E71,Catálogo!$C$5:$C$34,0))),""))</f>
        <v/>
      </c>
      <c r="P71" s="10" t="str">
        <f aca="false">IF(OR(H71="",O71=""),"",H71-O71)</f>
        <v/>
      </c>
      <c r="Q71" s="8"/>
      <c r="R71" s="6" t="str">
        <f aca="false">IF(J71="","",YEAR(J71))</f>
        <v/>
      </c>
      <c r="S71" s="6" t="str">
        <f aca="false">IF(J71="","",MONTH(J71))</f>
        <v/>
      </c>
    </row>
    <row r="72" customFormat="false" ht="15" hidden="false" customHeight="false" outlineLevel="0" collapsed="false">
      <c r="A72" s="6" t="str">
        <f aca="false">IF(C72="","",ROW()-5)</f>
        <v/>
      </c>
      <c r="B72" s="7"/>
      <c r="C72" s="8"/>
      <c r="D72" s="8"/>
      <c r="E72" s="8"/>
      <c r="F72" s="9"/>
      <c r="G72" s="10" t="str">
        <f aca="false">IF(E72="","",IFERROR(INDEX(Catálogo!$D$5:$D$34,MATCH(E72,Catálogo!$C$5:$C$34,0)),""))</f>
        <v/>
      </c>
      <c r="H72" s="10" t="str">
        <f aca="false">IF(OR(F72="",G72=""),"",F72*G72)</f>
        <v/>
      </c>
      <c r="I72" s="8"/>
      <c r="J72" s="7"/>
      <c r="K72" s="8"/>
      <c r="L72" s="8"/>
      <c r="M72" s="11"/>
      <c r="N72" s="10" t="str">
        <f aca="false">IF(H72="","",IF(K72="Cancelado",0,H72-M72))</f>
        <v/>
      </c>
      <c r="O72" s="10" t="str">
        <f aca="false">IF(OR(F72="",E72=""),"",IFERROR(IF(INDEX(Catálogo!$E$5:$E$34,MATCH(E72,Catálogo!$C$5:$C$34,0))=0,"",F72*INDEX(Catálogo!$E$5:$E$34,MATCH(E72,Catálogo!$C$5:$C$34,0))),""))</f>
        <v/>
      </c>
      <c r="P72" s="10" t="str">
        <f aca="false">IF(OR(H72="",O72=""),"",H72-O72)</f>
        <v/>
      </c>
      <c r="Q72" s="8"/>
      <c r="R72" s="6" t="str">
        <f aca="false">IF(J72="","",YEAR(J72))</f>
        <v/>
      </c>
      <c r="S72" s="6" t="str">
        <f aca="false">IF(J72="","",MONTH(J72))</f>
        <v/>
      </c>
    </row>
    <row r="73" customFormat="false" ht="15" hidden="false" customHeight="false" outlineLevel="0" collapsed="false">
      <c r="A73" s="6" t="str">
        <f aca="false">IF(C73="","",ROW()-5)</f>
        <v/>
      </c>
      <c r="B73" s="7"/>
      <c r="C73" s="8"/>
      <c r="D73" s="8"/>
      <c r="E73" s="8"/>
      <c r="F73" s="9"/>
      <c r="G73" s="10" t="str">
        <f aca="false">IF(E73="","",IFERROR(INDEX(Catálogo!$D$5:$D$34,MATCH(E73,Catálogo!$C$5:$C$34,0)),""))</f>
        <v/>
      </c>
      <c r="H73" s="10" t="str">
        <f aca="false">IF(OR(F73="",G73=""),"",F73*G73)</f>
        <v/>
      </c>
      <c r="I73" s="8"/>
      <c r="J73" s="7"/>
      <c r="K73" s="8"/>
      <c r="L73" s="8"/>
      <c r="M73" s="11"/>
      <c r="N73" s="10" t="str">
        <f aca="false">IF(H73="","",IF(K73="Cancelado",0,H73-M73))</f>
        <v/>
      </c>
      <c r="O73" s="10" t="str">
        <f aca="false">IF(OR(F73="",E73=""),"",IFERROR(IF(INDEX(Catálogo!$E$5:$E$34,MATCH(E73,Catálogo!$C$5:$C$34,0))=0,"",F73*INDEX(Catálogo!$E$5:$E$34,MATCH(E73,Catálogo!$C$5:$C$34,0))),""))</f>
        <v/>
      </c>
      <c r="P73" s="10" t="str">
        <f aca="false">IF(OR(H73="",O73=""),"",H73-O73)</f>
        <v/>
      </c>
      <c r="Q73" s="8"/>
      <c r="R73" s="6" t="str">
        <f aca="false">IF(J73="","",YEAR(J73))</f>
        <v/>
      </c>
      <c r="S73" s="6" t="str">
        <f aca="false">IF(J73="","",MONTH(J73))</f>
        <v/>
      </c>
    </row>
    <row r="74" customFormat="false" ht="15" hidden="false" customHeight="false" outlineLevel="0" collapsed="false">
      <c r="A74" s="6" t="str">
        <f aca="false">IF(C74="","",ROW()-5)</f>
        <v/>
      </c>
      <c r="B74" s="7"/>
      <c r="C74" s="8"/>
      <c r="D74" s="8"/>
      <c r="E74" s="8"/>
      <c r="F74" s="9"/>
      <c r="G74" s="10" t="str">
        <f aca="false">IF(E74="","",IFERROR(INDEX(Catálogo!$D$5:$D$34,MATCH(E74,Catálogo!$C$5:$C$34,0)),""))</f>
        <v/>
      </c>
      <c r="H74" s="10" t="str">
        <f aca="false">IF(OR(F74="",G74=""),"",F74*G74)</f>
        <v/>
      </c>
      <c r="I74" s="8"/>
      <c r="J74" s="7"/>
      <c r="K74" s="8"/>
      <c r="L74" s="8"/>
      <c r="M74" s="11"/>
      <c r="N74" s="10" t="str">
        <f aca="false">IF(H74="","",IF(K74="Cancelado",0,H74-M74))</f>
        <v/>
      </c>
      <c r="O74" s="10" t="str">
        <f aca="false">IF(OR(F74="",E74=""),"",IFERROR(IF(INDEX(Catálogo!$E$5:$E$34,MATCH(E74,Catálogo!$C$5:$C$34,0))=0,"",F74*INDEX(Catálogo!$E$5:$E$34,MATCH(E74,Catálogo!$C$5:$C$34,0))),""))</f>
        <v/>
      </c>
      <c r="P74" s="10" t="str">
        <f aca="false">IF(OR(H74="",O74=""),"",H74-O74)</f>
        <v/>
      </c>
      <c r="Q74" s="8"/>
      <c r="R74" s="6" t="str">
        <f aca="false">IF(J74="","",YEAR(J74))</f>
        <v/>
      </c>
      <c r="S74" s="6" t="str">
        <f aca="false">IF(J74="","",MONTH(J74))</f>
        <v/>
      </c>
    </row>
    <row r="75" customFormat="false" ht="15" hidden="false" customHeight="false" outlineLevel="0" collapsed="false">
      <c r="A75" s="6" t="str">
        <f aca="false">IF(C75="","",ROW()-5)</f>
        <v/>
      </c>
      <c r="B75" s="7"/>
      <c r="C75" s="8"/>
      <c r="D75" s="8"/>
      <c r="E75" s="8"/>
      <c r="F75" s="9"/>
      <c r="G75" s="10" t="str">
        <f aca="false">IF(E75="","",IFERROR(INDEX(Catálogo!$D$5:$D$34,MATCH(E75,Catálogo!$C$5:$C$34,0)),""))</f>
        <v/>
      </c>
      <c r="H75" s="10" t="str">
        <f aca="false">IF(OR(F75="",G75=""),"",F75*G75)</f>
        <v/>
      </c>
      <c r="I75" s="8"/>
      <c r="J75" s="7"/>
      <c r="K75" s="8"/>
      <c r="L75" s="8"/>
      <c r="M75" s="11"/>
      <c r="N75" s="10" t="str">
        <f aca="false">IF(H75="","",IF(K75="Cancelado",0,H75-M75))</f>
        <v/>
      </c>
      <c r="O75" s="10" t="str">
        <f aca="false">IF(OR(F75="",E75=""),"",IFERROR(IF(INDEX(Catálogo!$E$5:$E$34,MATCH(E75,Catálogo!$C$5:$C$34,0))=0,"",F75*INDEX(Catálogo!$E$5:$E$34,MATCH(E75,Catálogo!$C$5:$C$34,0))),""))</f>
        <v/>
      </c>
      <c r="P75" s="10" t="str">
        <f aca="false">IF(OR(H75="",O75=""),"",H75-O75)</f>
        <v/>
      </c>
      <c r="Q75" s="8"/>
      <c r="R75" s="6" t="str">
        <f aca="false">IF(J75="","",YEAR(J75))</f>
        <v/>
      </c>
      <c r="S75" s="6" t="str">
        <f aca="false">IF(J75="","",MONTH(J75))</f>
        <v/>
      </c>
    </row>
    <row r="76" customFormat="false" ht="15" hidden="false" customHeight="false" outlineLevel="0" collapsed="false">
      <c r="A76" s="6" t="str">
        <f aca="false">IF(C76="","",ROW()-5)</f>
        <v/>
      </c>
      <c r="B76" s="7"/>
      <c r="C76" s="8"/>
      <c r="D76" s="8"/>
      <c r="E76" s="8"/>
      <c r="F76" s="9"/>
      <c r="G76" s="10" t="str">
        <f aca="false">IF(E76="","",IFERROR(INDEX(Catálogo!$D$5:$D$34,MATCH(E76,Catálogo!$C$5:$C$34,0)),""))</f>
        <v/>
      </c>
      <c r="H76" s="10" t="str">
        <f aca="false">IF(OR(F76="",G76=""),"",F76*G76)</f>
        <v/>
      </c>
      <c r="I76" s="8"/>
      <c r="J76" s="7"/>
      <c r="K76" s="8"/>
      <c r="L76" s="8"/>
      <c r="M76" s="11"/>
      <c r="N76" s="10" t="str">
        <f aca="false">IF(H76="","",IF(K76="Cancelado",0,H76-M76))</f>
        <v/>
      </c>
      <c r="O76" s="10" t="str">
        <f aca="false">IF(OR(F76="",E76=""),"",IFERROR(IF(INDEX(Catálogo!$E$5:$E$34,MATCH(E76,Catálogo!$C$5:$C$34,0))=0,"",F76*INDEX(Catálogo!$E$5:$E$34,MATCH(E76,Catálogo!$C$5:$C$34,0))),""))</f>
        <v/>
      </c>
      <c r="P76" s="10" t="str">
        <f aca="false">IF(OR(H76="",O76=""),"",H76-O76)</f>
        <v/>
      </c>
      <c r="Q76" s="8"/>
      <c r="R76" s="6" t="str">
        <f aca="false">IF(J76="","",YEAR(J76))</f>
        <v/>
      </c>
      <c r="S76" s="6" t="str">
        <f aca="false">IF(J76="","",MONTH(J76))</f>
        <v/>
      </c>
    </row>
    <row r="77" customFormat="false" ht="15" hidden="false" customHeight="false" outlineLevel="0" collapsed="false">
      <c r="A77" s="6" t="str">
        <f aca="false">IF(C77="","",ROW()-5)</f>
        <v/>
      </c>
      <c r="B77" s="7"/>
      <c r="C77" s="8"/>
      <c r="D77" s="8"/>
      <c r="E77" s="8"/>
      <c r="F77" s="9"/>
      <c r="G77" s="10" t="str">
        <f aca="false">IF(E77="","",IFERROR(INDEX(Catálogo!$D$5:$D$34,MATCH(E77,Catálogo!$C$5:$C$34,0)),""))</f>
        <v/>
      </c>
      <c r="H77" s="10" t="str">
        <f aca="false">IF(OR(F77="",G77=""),"",F77*G77)</f>
        <v/>
      </c>
      <c r="I77" s="8"/>
      <c r="J77" s="7"/>
      <c r="K77" s="8"/>
      <c r="L77" s="8"/>
      <c r="M77" s="11"/>
      <c r="N77" s="10" t="str">
        <f aca="false">IF(H77="","",IF(K77="Cancelado",0,H77-M77))</f>
        <v/>
      </c>
      <c r="O77" s="10" t="str">
        <f aca="false">IF(OR(F77="",E77=""),"",IFERROR(IF(INDEX(Catálogo!$E$5:$E$34,MATCH(E77,Catálogo!$C$5:$C$34,0))=0,"",F77*INDEX(Catálogo!$E$5:$E$34,MATCH(E77,Catálogo!$C$5:$C$34,0))),""))</f>
        <v/>
      </c>
      <c r="P77" s="10" t="str">
        <f aca="false">IF(OR(H77="",O77=""),"",H77-O77)</f>
        <v/>
      </c>
      <c r="Q77" s="8"/>
      <c r="R77" s="6" t="str">
        <f aca="false">IF(J77="","",YEAR(J77))</f>
        <v/>
      </c>
      <c r="S77" s="6" t="str">
        <f aca="false">IF(J77="","",MONTH(J77))</f>
        <v/>
      </c>
    </row>
    <row r="78" customFormat="false" ht="15" hidden="false" customHeight="false" outlineLevel="0" collapsed="false">
      <c r="A78" s="6" t="str">
        <f aca="false">IF(C78="","",ROW()-5)</f>
        <v/>
      </c>
      <c r="B78" s="7"/>
      <c r="C78" s="8"/>
      <c r="D78" s="8"/>
      <c r="E78" s="8"/>
      <c r="F78" s="9"/>
      <c r="G78" s="10" t="str">
        <f aca="false">IF(E78="","",IFERROR(INDEX(Catálogo!$D$5:$D$34,MATCH(E78,Catálogo!$C$5:$C$34,0)),""))</f>
        <v/>
      </c>
      <c r="H78" s="10" t="str">
        <f aca="false">IF(OR(F78="",G78=""),"",F78*G78)</f>
        <v/>
      </c>
      <c r="I78" s="8"/>
      <c r="J78" s="7"/>
      <c r="K78" s="8"/>
      <c r="L78" s="8"/>
      <c r="M78" s="11"/>
      <c r="N78" s="10" t="str">
        <f aca="false">IF(H78="","",IF(K78="Cancelado",0,H78-M78))</f>
        <v/>
      </c>
      <c r="O78" s="10" t="str">
        <f aca="false">IF(OR(F78="",E78=""),"",IFERROR(IF(INDEX(Catálogo!$E$5:$E$34,MATCH(E78,Catálogo!$C$5:$C$34,0))=0,"",F78*INDEX(Catálogo!$E$5:$E$34,MATCH(E78,Catálogo!$C$5:$C$34,0))),""))</f>
        <v/>
      </c>
      <c r="P78" s="10" t="str">
        <f aca="false">IF(OR(H78="",O78=""),"",H78-O78)</f>
        <v/>
      </c>
      <c r="Q78" s="8"/>
      <c r="R78" s="6" t="str">
        <f aca="false">IF(J78="","",YEAR(J78))</f>
        <v/>
      </c>
      <c r="S78" s="6" t="str">
        <f aca="false">IF(J78="","",MONTH(J78))</f>
        <v/>
      </c>
    </row>
    <row r="79" customFormat="false" ht="15" hidden="false" customHeight="false" outlineLevel="0" collapsed="false">
      <c r="A79" s="6" t="str">
        <f aca="false">IF(C79="","",ROW()-5)</f>
        <v/>
      </c>
      <c r="B79" s="7"/>
      <c r="C79" s="8"/>
      <c r="D79" s="8"/>
      <c r="E79" s="8"/>
      <c r="F79" s="9"/>
      <c r="G79" s="10" t="str">
        <f aca="false">IF(E79="","",IFERROR(INDEX(Catálogo!$D$5:$D$34,MATCH(E79,Catálogo!$C$5:$C$34,0)),""))</f>
        <v/>
      </c>
      <c r="H79" s="10" t="str">
        <f aca="false">IF(OR(F79="",G79=""),"",F79*G79)</f>
        <v/>
      </c>
      <c r="I79" s="8"/>
      <c r="J79" s="7"/>
      <c r="K79" s="8"/>
      <c r="L79" s="8"/>
      <c r="M79" s="11"/>
      <c r="N79" s="10" t="str">
        <f aca="false">IF(H79="","",IF(K79="Cancelado",0,H79-M79))</f>
        <v/>
      </c>
      <c r="O79" s="10" t="str">
        <f aca="false">IF(OR(F79="",E79=""),"",IFERROR(IF(INDEX(Catálogo!$E$5:$E$34,MATCH(E79,Catálogo!$C$5:$C$34,0))=0,"",F79*INDEX(Catálogo!$E$5:$E$34,MATCH(E79,Catálogo!$C$5:$C$34,0))),""))</f>
        <v/>
      </c>
      <c r="P79" s="10" t="str">
        <f aca="false">IF(OR(H79="",O79=""),"",H79-O79)</f>
        <v/>
      </c>
      <c r="Q79" s="8"/>
      <c r="R79" s="6" t="str">
        <f aca="false">IF(J79="","",YEAR(J79))</f>
        <v/>
      </c>
      <c r="S79" s="6" t="str">
        <f aca="false">IF(J79="","",MONTH(J79))</f>
        <v/>
      </c>
    </row>
    <row r="80" customFormat="false" ht="15" hidden="false" customHeight="false" outlineLevel="0" collapsed="false">
      <c r="A80" s="6" t="str">
        <f aca="false">IF(C80="","",ROW()-5)</f>
        <v/>
      </c>
      <c r="B80" s="7"/>
      <c r="C80" s="8"/>
      <c r="D80" s="8"/>
      <c r="E80" s="8"/>
      <c r="F80" s="9"/>
      <c r="G80" s="10" t="str">
        <f aca="false">IF(E80="","",IFERROR(INDEX(Catálogo!$D$5:$D$34,MATCH(E80,Catálogo!$C$5:$C$34,0)),""))</f>
        <v/>
      </c>
      <c r="H80" s="10" t="str">
        <f aca="false">IF(OR(F80="",G80=""),"",F80*G80)</f>
        <v/>
      </c>
      <c r="I80" s="8"/>
      <c r="J80" s="7"/>
      <c r="K80" s="8"/>
      <c r="L80" s="8"/>
      <c r="M80" s="11"/>
      <c r="N80" s="10" t="str">
        <f aca="false">IF(H80="","",IF(K80="Cancelado",0,H80-M80))</f>
        <v/>
      </c>
      <c r="O80" s="10" t="str">
        <f aca="false">IF(OR(F80="",E80=""),"",IFERROR(IF(INDEX(Catálogo!$E$5:$E$34,MATCH(E80,Catálogo!$C$5:$C$34,0))=0,"",F80*INDEX(Catálogo!$E$5:$E$34,MATCH(E80,Catálogo!$C$5:$C$34,0))),""))</f>
        <v/>
      </c>
      <c r="P80" s="10" t="str">
        <f aca="false">IF(OR(H80="",O80=""),"",H80-O80)</f>
        <v/>
      </c>
      <c r="Q80" s="8"/>
      <c r="R80" s="6" t="str">
        <f aca="false">IF(J80="","",YEAR(J80))</f>
        <v/>
      </c>
      <c r="S80" s="6" t="str">
        <f aca="false">IF(J80="","",MONTH(J80))</f>
        <v/>
      </c>
    </row>
    <row r="81" customFormat="false" ht="15" hidden="false" customHeight="false" outlineLevel="0" collapsed="false">
      <c r="A81" s="6" t="str">
        <f aca="false">IF(C81="","",ROW()-5)</f>
        <v/>
      </c>
      <c r="B81" s="7"/>
      <c r="C81" s="8"/>
      <c r="D81" s="8"/>
      <c r="E81" s="8"/>
      <c r="F81" s="9"/>
      <c r="G81" s="10" t="str">
        <f aca="false">IF(E81="","",IFERROR(INDEX(Catálogo!$D$5:$D$34,MATCH(E81,Catálogo!$C$5:$C$34,0)),""))</f>
        <v/>
      </c>
      <c r="H81" s="10" t="str">
        <f aca="false">IF(OR(F81="",G81=""),"",F81*G81)</f>
        <v/>
      </c>
      <c r="I81" s="8"/>
      <c r="J81" s="7"/>
      <c r="K81" s="8"/>
      <c r="L81" s="8"/>
      <c r="M81" s="11"/>
      <c r="N81" s="10" t="str">
        <f aca="false">IF(H81="","",IF(K81="Cancelado",0,H81-M81))</f>
        <v/>
      </c>
      <c r="O81" s="10" t="str">
        <f aca="false">IF(OR(F81="",E81=""),"",IFERROR(IF(INDEX(Catálogo!$E$5:$E$34,MATCH(E81,Catálogo!$C$5:$C$34,0))=0,"",F81*INDEX(Catálogo!$E$5:$E$34,MATCH(E81,Catálogo!$C$5:$C$34,0))),""))</f>
        <v/>
      </c>
      <c r="P81" s="10" t="str">
        <f aca="false">IF(OR(H81="",O81=""),"",H81-O81)</f>
        <v/>
      </c>
      <c r="Q81" s="8"/>
      <c r="R81" s="6" t="str">
        <f aca="false">IF(J81="","",YEAR(J81))</f>
        <v/>
      </c>
      <c r="S81" s="6" t="str">
        <f aca="false">IF(J81="","",MONTH(J81))</f>
        <v/>
      </c>
    </row>
    <row r="82" customFormat="false" ht="15" hidden="false" customHeight="false" outlineLevel="0" collapsed="false">
      <c r="A82" s="6" t="str">
        <f aca="false">IF(C82="","",ROW()-5)</f>
        <v/>
      </c>
      <c r="B82" s="7"/>
      <c r="C82" s="8"/>
      <c r="D82" s="8"/>
      <c r="E82" s="8"/>
      <c r="F82" s="9"/>
      <c r="G82" s="10" t="str">
        <f aca="false">IF(E82="","",IFERROR(INDEX(Catálogo!$D$5:$D$34,MATCH(E82,Catálogo!$C$5:$C$34,0)),""))</f>
        <v/>
      </c>
      <c r="H82" s="10" t="str">
        <f aca="false">IF(OR(F82="",G82=""),"",F82*G82)</f>
        <v/>
      </c>
      <c r="I82" s="8"/>
      <c r="J82" s="7"/>
      <c r="K82" s="8"/>
      <c r="L82" s="8"/>
      <c r="M82" s="11"/>
      <c r="N82" s="10" t="str">
        <f aca="false">IF(H82="","",IF(K82="Cancelado",0,H82-M82))</f>
        <v/>
      </c>
      <c r="O82" s="10" t="str">
        <f aca="false">IF(OR(F82="",E82=""),"",IFERROR(IF(INDEX(Catálogo!$E$5:$E$34,MATCH(E82,Catálogo!$C$5:$C$34,0))=0,"",F82*INDEX(Catálogo!$E$5:$E$34,MATCH(E82,Catálogo!$C$5:$C$34,0))),""))</f>
        <v/>
      </c>
      <c r="P82" s="10" t="str">
        <f aca="false">IF(OR(H82="",O82=""),"",H82-O82)</f>
        <v/>
      </c>
      <c r="Q82" s="8"/>
      <c r="R82" s="6" t="str">
        <f aca="false">IF(J82="","",YEAR(J82))</f>
        <v/>
      </c>
      <c r="S82" s="6" t="str">
        <f aca="false">IF(J82="","",MONTH(J82))</f>
        <v/>
      </c>
    </row>
    <row r="83" customFormat="false" ht="15" hidden="false" customHeight="false" outlineLevel="0" collapsed="false">
      <c r="A83" s="6" t="str">
        <f aca="false">IF(C83="","",ROW()-5)</f>
        <v/>
      </c>
      <c r="B83" s="7"/>
      <c r="C83" s="8"/>
      <c r="D83" s="8"/>
      <c r="E83" s="8"/>
      <c r="F83" s="9"/>
      <c r="G83" s="10" t="str">
        <f aca="false">IF(E83="","",IFERROR(INDEX(Catálogo!$D$5:$D$34,MATCH(E83,Catálogo!$C$5:$C$34,0)),""))</f>
        <v/>
      </c>
      <c r="H83" s="10" t="str">
        <f aca="false">IF(OR(F83="",G83=""),"",F83*G83)</f>
        <v/>
      </c>
      <c r="I83" s="8"/>
      <c r="J83" s="7"/>
      <c r="K83" s="8"/>
      <c r="L83" s="8"/>
      <c r="M83" s="11"/>
      <c r="N83" s="10" t="str">
        <f aca="false">IF(H83="","",IF(K83="Cancelado",0,H83-M83))</f>
        <v/>
      </c>
      <c r="O83" s="10" t="str">
        <f aca="false">IF(OR(F83="",E83=""),"",IFERROR(IF(INDEX(Catálogo!$E$5:$E$34,MATCH(E83,Catálogo!$C$5:$C$34,0))=0,"",F83*INDEX(Catálogo!$E$5:$E$34,MATCH(E83,Catálogo!$C$5:$C$34,0))),""))</f>
        <v/>
      </c>
      <c r="P83" s="10" t="str">
        <f aca="false">IF(OR(H83="",O83=""),"",H83-O83)</f>
        <v/>
      </c>
      <c r="Q83" s="8"/>
      <c r="R83" s="6" t="str">
        <f aca="false">IF(J83="","",YEAR(J83))</f>
        <v/>
      </c>
      <c r="S83" s="6" t="str">
        <f aca="false">IF(J83="","",MONTH(J83))</f>
        <v/>
      </c>
    </row>
    <row r="84" customFormat="false" ht="15" hidden="false" customHeight="false" outlineLevel="0" collapsed="false">
      <c r="A84" s="6" t="str">
        <f aca="false">IF(C84="","",ROW()-5)</f>
        <v/>
      </c>
      <c r="B84" s="7"/>
      <c r="C84" s="8"/>
      <c r="D84" s="8"/>
      <c r="E84" s="8"/>
      <c r="F84" s="9"/>
      <c r="G84" s="10" t="str">
        <f aca="false">IF(E84="","",IFERROR(INDEX(Catálogo!$D$5:$D$34,MATCH(E84,Catálogo!$C$5:$C$34,0)),""))</f>
        <v/>
      </c>
      <c r="H84" s="10" t="str">
        <f aca="false">IF(OR(F84="",G84=""),"",F84*G84)</f>
        <v/>
      </c>
      <c r="I84" s="8"/>
      <c r="J84" s="7"/>
      <c r="K84" s="8"/>
      <c r="L84" s="8"/>
      <c r="M84" s="11"/>
      <c r="N84" s="10" t="str">
        <f aca="false">IF(H84="","",IF(K84="Cancelado",0,H84-M84))</f>
        <v/>
      </c>
      <c r="O84" s="10" t="str">
        <f aca="false">IF(OR(F84="",E84=""),"",IFERROR(IF(INDEX(Catálogo!$E$5:$E$34,MATCH(E84,Catálogo!$C$5:$C$34,0))=0,"",F84*INDEX(Catálogo!$E$5:$E$34,MATCH(E84,Catálogo!$C$5:$C$34,0))),""))</f>
        <v/>
      </c>
      <c r="P84" s="10" t="str">
        <f aca="false">IF(OR(H84="",O84=""),"",H84-O84)</f>
        <v/>
      </c>
      <c r="Q84" s="8"/>
      <c r="R84" s="6" t="str">
        <f aca="false">IF(J84="","",YEAR(J84))</f>
        <v/>
      </c>
      <c r="S84" s="6" t="str">
        <f aca="false">IF(J84="","",MONTH(J84))</f>
        <v/>
      </c>
    </row>
    <row r="85" customFormat="false" ht="15" hidden="false" customHeight="false" outlineLevel="0" collapsed="false">
      <c r="A85" s="6" t="str">
        <f aca="false">IF(C85="","",ROW()-5)</f>
        <v/>
      </c>
      <c r="B85" s="7"/>
      <c r="C85" s="8"/>
      <c r="D85" s="8"/>
      <c r="E85" s="8"/>
      <c r="F85" s="9"/>
      <c r="G85" s="10" t="str">
        <f aca="false">IF(E85="","",IFERROR(INDEX(Catálogo!$D$5:$D$34,MATCH(E85,Catálogo!$C$5:$C$34,0)),""))</f>
        <v/>
      </c>
      <c r="H85" s="10" t="str">
        <f aca="false">IF(OR(F85="",G85=""),"",F85*G85)</f>
        <v/>
      </c>
      <c r="I85" s="8"/>
      <c r="J85" s="7"/>
      <c r="K85" s="8"/>
      <c r="L85" s="8"/>
      <c r="M85" s="11"/>
      <c r="N85" s="10" t="str">
        <f aca="false">IF(H85="","",IF(K85="Cancelado",0,H85-M85))</f>
        <v/>
      </c>
      <c r="O85" s="10" t="str">
        <f aca="false">IF(OR(F85="",E85=""),"",IFERROR(IF(INDEX(Catálogo!$E$5:$E$34,MATCH(E85,Catálogo!$C$5:$C$34,0))=0,"",F85*INDEX(Catálogo!$E$5:$E$34,MATCH(E85,Catálogo!$C$5:$C$34,0))),""))</f>
        <v/>
      </c>
      <c r="P85" s="10" t="str">
        <f aca="false">IF(OR(H85="",O85=""),"",H85-O85)</f>
        <v/>
      </c>
      <c r="Q85" s="8"/>
      <c r="R85" s="6" t="str">
        <f aca="false">IF(J85="","",YEAR(J85))</f>
        <v/>
      </c>
      <c r="S85" s="6" t="str">
        <f aca="false">IF(J85="","",MONTH(J85))</f>
        <v/>
      </c>
    </row>
    <row r="86" customFormat="false" ht="15" hidden="false" customHeight="false" outlineLevel="0" collapsed="false">
      <c r="A86" s="6" t="str">
        <f aca="false">IF(C86="","",ROW()-5)</f>
        <v/>
      </c>
      <c r="B86" s="7"/>
      <c r="C86" s="8"/>
      <c r="D86" s="8"/>
      <c r="E86" s="8"/>
      <c r="F86" s="9"/>
      <c r="G86" s="10" t="str">
        <f aca="false">IF(E86="","",IFERROR(INDEX(Catálogo!$D$5:$D$34,MATCH(E86,Catálogo!$C$5:$C$34,0)),""))</f>
        <v/>
      </c>
      <c r="H86" s="10" t="str">
        <f aca="false">IF(OR(F86="",G86=""),"",F86*G86)</f>
        <v/>
      </c>
      <c r="I86" s="8"/>
      <c r="J86" s="7"/>
      <c r="K86" s="8"/>
      <c r="L86" s="8"/>
      <c r="M86" s="11"/>
      <c r="N86" s="10" t="str">
        <f aca="false">IF(H86="","",IF(K86="Cancelado",0,H86-M86))</f>
        <v/>
      </c>
      <c r="O86" s="10" t="str">
        <f aca="false">IF(OR(F86="",E86=""),"",IFERROR(IF(INDEX(Catálogo!$E$5:$E$34,MATCH(E86,Catálogo!$C$5:$C$34,0))=0,"",F86*INDEX(Catálogo!$E$5:$E$34,MATCH(E86,Catálogo!$C$5:$C$34,0))),""))</f>
        <v/>
      </c>
      <c r="P86" s="10" t="str">
        <f aca="false">IF(OR(H86="",O86=""),"",H86-O86)</f>
        <v/>
      </c>
      <c r="Q86" s="8"/>
      <c r="R86" s="6" t="str">
        <f aca="false">IF(J86="","",YEAR(J86))</f>
        <v/>
      </c>
      <c r="S86" s="6" t="str">
        <f aca="false">IF(J86="","",MONTH(J86))</f>
        <v/>
      </c>
    </row>
    <row r="87" customFormat="false" ht="15" hidden="false" customHeight="false" outlineLevel="0" collapsed="false">
      <c r="A87" s="6" t="str">
        <f aca="false">IF(C87="","",ROW()-5)</f>
        <v/>
      </c>
      <c r="B87" s="7"/>
      <c r="C87" s="8"/>
      <c r="D87" s="8"/>
      <c r="E87" s="8"/>
      <c r="F87" s="9"/>
      <c r="G87" s="10" t="str">
        <f aca="false">IF(E87="","",IFERROR(INDEX(Catálogo!$D$5:$D$34,MATCH(E87,Catálogo!$C$5:$C$34,0)),""))</f>
        <v/>
      </c>
      <c r="H87" s="10" t="str">
        <f aca="false">IF(OR(F87="",G87=""),"",F87*G87)</f>
        <v/>
      </c>
      <c r="I87" s="8"/>
      <c r="J87" s="7"/>
      <c r="K87" s="8"/>
      <c r="L87" s="8"/>
      <c r="M87" s="11"/>
      <c r="N87" s="10" t="str">
        <f aca="false">IF(H87="","",IF(K87="Cancelado",0,H87-M87))</f>
        <v/>
      </c>
      <c r="O87" s="10" t="str">
        <f aca="false">IF(OR(F87="",E87=""),"",IFERROR(IF(INDEX(Catálogo!$E$5:$E$34,MATCH(E87,Catálogo!$C$5:$C$34,0))=0,"",F87*INDEX(Catálogo!$E$5:$E$34,MATCH(E87,Catálogo!$C$5:$C$34,0))),""))</f>
        <v/>
      </c>
      <c r="P87" s="10" t="str">
        <f aca="false">IF(OR(H87="",O87=""),"",H87-O87)</f>
        <v/>
      </c>
      <c r="Q87" s="8"/>
      <c r="R87" s="6" t="str">
        <f aca="false">IF(J87="","",YEAR(J87))</f>
        <v/>
      </c>
      <c r="S87" s="6" t="str">
        <f aca="false">IF(J87="","",MONTH(J87))</f>
        <v/>
      </c>
    </row>
    <row r="88" customFormat="false" ht="15" hidden="false" customHeight="false" outlineLevel="0" collapsed="false">
      <c r="A88" s="6" t="str">
        <f aca="false">IF(C88="","",ROW()-5)</f>
        <v/>
      </c>
      <c r="B88" s="7"/>
      <c r="C88" s="8"/>
      <c r="D88" s="8"/>
      <c r="E88" s="8"/>
      <c r="F88" s="9"/>
      <c r="G88" s="10" t="str">
        <f aca="false">IF(E88="","",IFERROR(INDEX(Catálogo!$D$5:$D$34,MATCH(E88,Catálogo!$C$5:$C$34,0)),""))</f>
        <v/>
      </c>
      <c r="H88" s="10" t="str">
        <f aca="false">IF(OR(F88="",G88=""),"",F88*G88)</f>
        <v/>
      </c>
      <c r="I88" s="8"/>
      <c r="J88" s="7"/>
      <c r="K88" s="8"/>
      <c r="L88" s="8"/>
      <c r="M88" s="11"/>
      <c r="N88" s="10" t="str">
        <f aca="false">IF(H88="","",IF(K88="Cancelado",0,H88-M88))</f>
        <v/>
      </c>
      <c r="O88" s="10" t="str">
        <f aca="false">IF(OR(F88="",E88=""),"",IFERROR(IF(INDEX(Catálogo!$E$5:$E$34,MATCH(E88,Catálogo!$C$5:$C$34,0))=0,"",F88*INDEX(Catálogo!$E$5:$E$34,MATCH(E88,Catálogo!$C$5:$C$34,0))),""))</f>
        <v/>
      </c>
      <c r="P88" s="10" t="str">
        <f aca="false">IF(OR(H88="",O88=""),"",H88-O88)</f>
        <v/>
      </c>
      <c r="Q88" s="8"/>
      <c r="R88" s="6" t="str">
        <f aca="false">IF(J88="","",YEAR(J88))</f>
        <v/>
      </c>
      <c r="S88" s="6" t="str">
        <f aca="false">IF(J88="","",MONTH(J88))</f>
        <v/>
      </c>
    </row>
    <row r="89" customFormat="false" ht="15" hidden="false" customHeight="false" outlineLevel="0" collapsed="false">
      <c r="A89" s="6" t="str">
        <f aca="false">IF(C89="","",ROW()-5)</f>
        <v/>
      </c>
      <c r="B89" s="7"/>
      <c r="C89" s="8"/>
      <c r="D89" s="8"/>
      <c r="E89" s="8"/>
      <c r="F89" s="9"/>
      <c r="G89" s="10" t="str">
        <f aca="false">IF(E89="","",IFERROR(INDEX(Catálogo!$D$5:$D$34,MATCH(E89,Catálogo!$C$5:$C$34,0)),""))</f>
        <v/>
      </c>
      <c r="H89" s="10" t="str">
        <f aca="false">IF(OR(F89="",G89=""),"",F89*G89)</f>
        <v/>
      </c>
      <c r="I89" s="8"/>
      <c r="J89" s="7"/>
      <c r="K89" s="8"/>
      <c r="L89" s="8"/>
      <c r="M89" s="11"/>
      <c r="N89" s="10" t="str">
        <f aca="false">IF(H89="","",IF(K89="Cancelado",0,H89-M89))</f>
        <v/>
      </c>
      <c r="O89" s="10" t="str">
        <f aca="false">IF(OR(F89="",E89=""),"",IFERROR(IF(INDEX(Catálogo!$E$5:$E$34,MATCH(E89,Catálogo!$C$5:$C$34,0))=0,"",F89*INDEX(Catálogo!$E$5:$E$34,MATCH(E89,Catálogo!$C$5:$C$34,0))),""))</f>
        <v/>
      </c>
      <c r="P89" s="10" t="str">
        <f aca="false">IF(OR(H89="",O89=""),"",H89-O89)</f>
        <v/>
      </c>
      <c r="Q89" s="8"/>
      <c r="R89" s="6" t="str">
        <f aca="false">IF(J89="","",YEAR(J89))</f>
        <v/>
      </c>
      <c r="S89" s="6" t="str">
        <f aca="false">IF(J89="","",MONTH(J89))</f>
        <v/>
      </c>
    </row>
    <row r="90" customFormat="false" ht="15" hidden="false" customHeight="false" outlineLevel="0" collapsed="false">
      <c r="A90" s="6" t="str">
        <f aca="false">IF(C90="","",ROW()-5)</f>
        <v/>
      </c>
      <c r="B90" s="7"/>
      <c r="C90" s="8"/>
      <c r="D90" s="8"/>
      <c r="E90" s="8"/>
      <c r="F90" s="9"/>
      <c r="G90" s="10" t="str">
        <f aca="false">IF(E90="","",IFERROR(INDEX(Catálogo!$D$5:$D$34,MATCH(E90,Catálogo!$C$5:$C$34,0)),""))</f>
        <v/>
      </c>
      <c r="H90" s="10" t="str">
        <f aca="false">IF(OR(F90="",G90=""),"",F90*G90)</f>
        <v/>
      </c>
      <c r="I90" s="8"/>
      <c r="J90" s="7"/>
      <c r="K90" s="8"/>
      <c r="L90" s="8"/>
      <c r="M90" s="11"/>
      <c r="N90" s="10" t="str">
        <f aca="false">IF(H90="","",IF(K90="Cancelado",0,H90-M90))</f>
        <v/>
      </c>
      <c r="O90" s="10" t="str">
        <f aca="false">IF(OR(F90="",E90=""),"",IFERROR(IF(INDEX(Catálogo!$E$5:$E$34,MATCH(E90,Catálogo!$C$5:$C$34,0))=0,"",F90*INDEX(Catálogo!$E$5:$E$34,MATCH(E90,Catálogo!$C$5:$C$34,0))),""))</f>
        <v/>
      </c>
      <c r="P90" s="10" t="str">
        <f aca="false">IF(OR(H90="",O90=""),"",H90-O90)</f>
        <v/>
      </c>
      <c r="Q90" s="8"/>
      <c r="R90" s="6" t="str">
        <f aca="false">IF(J90="","",YEAR(J90))</f>
        <v/>
      </c>
      <c r="S90" s="6" t="str">
        <f aca="false">IF(J90="","",MONTH(J90))</f>
        <v/>
      </c>
    </row>
    <row r="91" customFormat="false" ht="15" hidden="false" customHeight="false" outlineLevel="0" collapsed="false">
      <c r="A91" s="6" t="str">
        <f aca="false">IF(C91="","",ROW()-5)</f>
        <v/>
      </c>
      <c r="B91" s="7"/>
      <c r="C91" s="8"/>
      <c r="D91" s="8"/>
      <c r="E91" s="8"/>
      <c r="F91" s="9"/>
      <c r="G91" s="10" t="str">
        <f aca="false">IF(E91="","",IFERROR(INDEX(Catálogo!$D$5:$D$34,MATCH(E91,Catálogo!$C$5:$C$34,0)),""))</f>
        <v/>
      </c>
      <c r="H91" s="10" t="str">
        <f aca="false">IF(OR(F91="",G91=""),"",F91*G91)</f>
        <v/>
      </c>
      <c r="I91" s="8"/>
      <c r="J91" s="7"/>
      <c r="K91" s="8"/>
      <c r="L91" s="8"/>
      <c r="M91" s="11"/>
      <c r="N91" s="10" t="str">
        <f aca="false">IF(H91="","",IF(K91="Cancelado",0,H91-M91))</f>
        <v/>
      </c>
      <c r="O91" s="10" t="str">
        <f aca="false">IF(OR(F91="",E91=""),"",IFERROR(IF(INDEX(Catálogo!$E$5:$E$34,MATCH(E91,Catálogo!$C$5:$C$34,0))=0,"",F91*INDEX(Catálogo!$E$5:$E$34,MATCH(E91,Catálogo!$C$5:$C$34,0))),""))</f>
        <v/>
      </c>
      <c r="P91" s="10" t="str">
        <f aca="false">IF(OR(H91="",O91=""),"",H91-O91)</f>
        <v/>
      </c>
      <c r="Q91" s="8"/>
      <c r="R91" s="6" t="str">
        <f aca="false">IF(J91="","",YEAR(J91))</f>
        <v/>
      </c>
      <c r="S91" s="6" t="str">
        <f aca="false">IF(J91="","",MONTH(J91))</f>
        <v/>
      </c>
    </row>
    <row r="92" customFormat="false" ht="15" hidden="false" customHeight="false" outlineLevel="0" collapsed="false">
      <c r="A92" s="6" t="str">
        <f aca="false">IF(C92="","",ROW()-5)</f>
        <v/>
      </c>
      <c r="B92" s="7"/>
      <c r="C92" s="8"/>
      <c r="D92" s="8"/>
      <c r="E92" s="8"/>
      <c r="F92" s="9"/>
      <c r="G92" s="10" t="str">
        <f aca="false">IF(E92="","",IFERROR(INDEX(Catálogo!$D$5:$D$34,MATCH(E92,Catálogo!$C$5:$C$34,0)),""))</f>
        <v/>
      </c>
      <c r="H92" s="10" t="str">
        <f aca="false">IF(OR(F92="",G92=""),"",F92*G92)</f>
        <v/>
      </c>
      <c r="I92" s="8"/>
      <c r="J92" s="7"/>
      <c r="K92" s="8"/>
      <c r="L92" s="8"/>
      <c r="M92" s="11"/>
      <c r="N92" s="10" t="str">
        <f aca="false">IF(H92="","",IF(K92="Cancelado",0,H92-M92))</f>
        <v/>
      </c>
      <c r="O92" s="10" t="str">
        <f aca="false">IF(OR(F92="",E92=""),"",IFERROR(IF(INDEX(Catálogo!$E$5:$E$34,MATCH(E92,Catálogo!$C$5:$C$34,0))=0,"",F92*INDEX(Catálogo!$E$5:$E$34,MATCH(E92,Catálogo!$C$5:$C$34,0))),""))</f>
        <v/>
      </c>
      <c r="P92" s="10" t="str">
        <f aca="false">IF(OR(H92="",O92=""),"",H92-O92)</f>
        <v/>
      </c>
      <c r="Q92" s="8"/>
      <c r="R92" s="6" t="str">
        <f aca="false">IF(J92="","",YEAR(J92))</f>
        <v/>
      </c>
      <c r="S92" s="6" t="str">
        <f aca="false">IF(J92="","",MONTH(J92))</f>
        <v/>
      </c>
    </row>
    <row r="93" customFormat="false" ht="15" hidden="false" customHeight="false" outlineLevel="0" collapsed="false">
      <c r="A93" s="6" t="str">
        <f aca="false">IF(C93="","",ROW()-5)</f>
        <v/>
      </c>
      <c r="B93" s="7"/>
      <c r="C93" s="8"/>
      <c r="D93" s="8"/>
      <c r="E93" s="8"/>
      <c r="F93" s="9"/>
      <c r="G93" s="10" t="str">
        <f aca="false">IF(E93="","",IFERROR(INDEX(Catálogo!$D$5:$D$34,MATCH(E93,Catálogo!$C$5:$C$34,0)),""))</f>
        <v/>
      </c>
      <c r="H93" s="10" t="str">
        <f aca="false">IF(OR(F93="",G93=""),"",F93*G93)</f>
        <v/>
      </c>
      <c r="I93" s="8"/>
      <c r="J93" s="7"/>
      <c r="K93" s="8"/>
      <c r="L93" s="8"/>
      <c r="M93" s="11"/>
      <c r="N93" s="10" t="str">
        <f aca="false">IF(H93="","",IF(K93="Cancelado",0,H93-M93))</f>
        <v/>
      </c>
      <c r="O93" s="10" t="str">
        <f aca="false">IF(OR(F93="",E93=""),"",IFERROR(IF(INDEX(Catálogo!$E$5:$E$34,MATCH(E93,Catálogo!$C$5:$C$34,0))=0,"",F93*INDEX(Catálogo!$E$5:$E$34,MATCH(E93,Catálogo!$C$5:$C$34,0))),""))</f>
        <v/>
      </c>
      <c r="P93" s="10" t="str">
        <f aca="false">IF(OR(H93="",O93=""),"",H93-O93)</f>
        <v/>
      </c>
      <c r="Q93" s="8"/>
      <c r="R93" s="6" t="str">
        <f aca="false">IF(J93="","",YEAR(J93))</f>
        <v/>
      </c>
      <c r="S93" s="6" t="str">
        <f aca="false">IF(J93="","",MONTH(J93))</f>
        <v/>
      </c>
    </row>
    <row r="94" customFormat="false" ht="15" hidden="false" customHeight="false" outlineLevel="0" collapsed="false">
      <c r="A94" s="6" t="str">
        <f aca="false">IF(C94="","",ROW()-5)</f>
        <v/>
      </c>
      <c r="B94" s="7"/>
      <c r="C94" s="8"/>
      <c r="D94" s="8"/>
      <c r="E94" s="8"/>
      <c r="F94" s="9"/>
      <c r="G94" s="10" t="str">
        <f aca="false">IF(E94="","",IFERROR(INDEX(Catálogo!$D$5:$D$34,MATCH(E94,Catálogo!$C$5:$C$34,0)),""))</f>
        <v/>
      </c>
      <c r="H94" s="10" t="str">
        <f aca="false">IF(OR(F94="",G94=""),"",F94*G94)</f>
        <v/>
      </c>
      <c r="I94" s="8"/>
      <c r="J94" s="7"/>
      <c r="K94" s="8"/>
      <c r="L94" s="8"/>
      <c r="M94" s="11"/>
      <c r="N94" s="10" t="str">
        <f aca="false">IF(H94="","",IF(K94="Cancelado",0,H94-M94))</f>
        <v/>
      </c>
      <c r="O94" s="10" t="str">
        <f aca="false">IF(OR(F94="",E94=""),"",IFERROR(IF(INDEX(Catálogo!$E$5:$E$34,MATCH(E94,Catálogo!$C$5:$C$34,0))=0,"",F94*INDEX(Catálogo!$E$5:$E$34,MATCH(E94,Catálogo!$C$5:$C$34,0))),""))</f>
        <v/>
      </c>
      <c r="P94" s="10" t="str">
        <f aca="false">IF(OR(H94="",O94=""),"",H94-O94)</f>
        <v/>
      </c>
      <c r="Q94" s="8"/>
      <c r="R94" s="6" t="str">
        <f aca="false">IF(J94="","",YEAR(J94))</f>
        <v/>
      </c>
      <c r="S94" s="6" t="str">
        <f aca="false">IF(J94="","",MONTH(J94))</f>
        <v/>
      </c>
    </row>
    <row r="95" customFormat="false" ht="15" hidden="false" customHeight="false" outlineLevel="0" collapsed="false">
      <c r="A95" s="6" t="str">
        <f aca="false">IF(C95="","",ROW()-5)</f>
        <v/>
      </c>
      <c r="B95" s="7"/>
      <c r="C95" s="8"/>
      <c r="D95" s="8"/>
      <c r="E95" s="8"/>
      <c r="F95" s="9"/>
      <c r="G95" s="10" t="str">
        <f aca="false">IF(E95="","",IFERROR(INDEX(Catálogo!$D$5:$D$34,MATCH(E95,Catálogo!$C$5:$C$34,0)),""))</f>
        <v/>
      </c>
      <c r="H95" s="10" t="str">
        <f aca="false">IF(OR(F95="",G95=""),"",F95*G95)</f>
        <v/>
      </c>
      <c r="I95" s="8"/>
      <c r="J95" s="7"/>
      <c r="K95" s="8"/>
      <c r="L95" s="8"/>
      <c r="M95" s="11"/>
      <c r="N95" s="10" t="str">
        <f aca="false">IF(H95="","",IF(K95="Cancelado",0,H95-M95))</f>
        <v/>
      </c>
      <c r="O95" s="10" t="str">
        <f aca="false">IF(OR(F95="",E95=""),"",IFERROR(IF(INDEX(Catálogo!$E$5:$E$34,MATCH(E95,Catálogo!$C$5:$C$34,0))=0,"",F95*INDEX(Catálogo!$E$5:$E$34,MATCH(E95,Catálogo!$C$5:$C$34,0))),""))</f>
        <v/>
      </c>
      <c r="P95" s="10" t="str">
        <f aca="false">IF(OR(H95="",O95=""),"",H95-O95)</f>
        <v/>
      </c>
      <c r="Q95" s="8"/>
      <c r="R95" s="6" t="str">
        <f aca="false">IF(J95="","",YEAR(J95))</f>
        <v/>
      </c>
      <c r="S95" s="6" t="str">
        <f aca="false">IF(J95="","",MONTH(J95))</f>
        <v/>
      </c>
    </row>
    <row r="96" customFormat="false" ht="15" hidden="false" customHeight="false" outlineLevel="0" collapsed="false">
      <c r="A96" s="6" t="str">
        <f aca="false">IF(C96="","",ROW()-5)</f>
        <v/>
      </c>
      <c r="B96" s="7"/>
      <c r="C96" s="8"/>
      <c r="D96" s="8"/>
      <c r="E96" s="8"/>
      <c r="F96" s="9"/>
      <c r="G96" s="10" t="str">
        <f aca="false">IF(E96="","",IFERROR(INDEX(Catálogo!$D$5:$D$34,MATCH(E96,Catálogo!$C$5:$C$34,0)),""))</f>
        <v/>
      </c>
      <c r="H96" s="10" t="str">
        <f aca="false">IF(OR(F96="",G96=""),"",F96*G96)</f>
        <v/>
      </c>
      <c r="I96" s="8"/>
      <c r="J96" s="7"/>
      <c r="K96" s="8"/>
      <c r="L96" s="8"/>
      <c r="M96" s="11"/>
      <c r="N96" s="10" t="str">
        <f aca="false">IF(H96="","",IF(K96="Cancelado",0,H96-M96))</f>
        <v/>
      </c>
      <c r="O96" s="10" t="str">
        <f aca="false">IF(OR(F96="",E96=""),"",IFERROR(IF(INDEX(Catálogo!$E$5:$E$34,MATCH(E96,Catálogo!$C$5:$C$34,0))=0,"",F96*INDEX(Catálogo!$E$5:$E$34,MATCH(E96,Catálogo!$C$5:$C$34,0))),""))</f>
        <v/>
      </c>
      <c r="P96" s="10" t="str">
        <f aca="false">IF(OR(H96="",O96=""),"",H96-O96)</f>
        <v/>
      </c>
      <c r="Q96" s="8"/>
      <c r="R96" s="6" t="str">
        <f aca="false">IF(J96="","",YEAR(J96))</f>
        <v/>
      </c>
      <c r="S96" s="6" t="str">
        <f aca="false">IF(J96="","",MONTH(J96))</f>
        <v/>
      </c>
    </row>
    <row r="97" customFormat="false" ht="15" hidden="false" customHeight="false" outlineLevel="0" collapsed="false">
      <c r="A97" s="6" t="str">
        <f aca="false">IF(C97="","",ROW()-5)</f>
        <v/>
      </c>
      <c r="B97" s="7"/>
      <c r="C97" s="8"/>
      <c r="D97" s="8"/>
      <c r="E97" s="8"/>
      <c r="F97" s="9"/>
      <c r="G97" s="10" t="str">
        <f aca="false">IF(E97="","",IFERROR(INDEX(Catálogo!$D$5:$D$34,MATCH(E97,Catálogo!$C$5:$C$34,0)),""))</f>
        <v/>
      </c>
      <c r="H97" s="10" t="str">
        <f aca="false">IF(OR(F97="",G97=""),"",F97*G97)</f>
        <v/>
      </c>
      <c r="I97" s="8"/>
      <c r="J97" s="7"/>
      <c r="K97" s="8"/>
      <c r="L97" s="8"/>
      <c r="M97" s="11"/>
      <c r="N97" s="10" t="str">
        <f aca="false">IF(H97="","",IF(K97="Cancelado",0,H97-M97))</f>
        <v/>
      </c>
      <c r="O97" s="10" t="str">
        <f aca="false">IF(OR(F97="",E97=""),"",IFERROR(IF(INDEX(Catálogo!$E$5:$E$34,MATCH(E97,Catálogo!$C$5:$C$34,0))=0,"",F97*INDEX(Catálogo!$E$5:$E$34,MATCH(E97,Catálogo!$C$5:$C$34,0))),""))</f>
        <v/>
      </c>
      <c r="P97" s="10" t="str">
        <f aca="false">IF(OR(H97="",O97=""),"",H97-O97)</f>
        <v/>
      </c>
      <c r="Q97" s="8"/>
      <c r="R97" s="6" t="str">
        <f aca="false">IF(J97="","",YEAR(J97))</f>
        <v/>
      </c>
      <c r="S97" s="6" t="str">
        <f aca="false">IF(J97="","",MONTH(J97))</f>
        <v/>
      </c>
    </row>
    <row r="98" customFormat="false" ht="15" hidden="false" customHeight="false" outlineLevel="0" collapsed="false">
      <c r="A98" s="6" t="str">
        <f aca="false">IF(C98="","",ROW()-5)</f>
        <v/>
      </c>
      <c r="B98" s="7"/>
      <c r="C98" s="8"/>
      <c r="D98" s="8"/>
      <c r="E98" s="8"/>
      <c r="F98" s="9"/>
      <c r="G98" s="10" t="str">
        <f aca="false">IF(E98="","",IFERROR(INDEX(Catálogo!$D$5:$D$34,MATCH(E98,Catálogo!$C$5:$C$34,0)),""))</f>
        <v/>
      </c>
      <c r="H98" s="10" t="str">
        <f aca="false">IF(OR(F98="",G98=""),"",F98*G98)</f>
        <v/>
      </c>
      <c r="I98" s="8"/>
      <c r="J98" s="7"/>
      <c r="K98" s="8"/>
      <c r="L98" s="8"/>
      <c r="M98" s="11"/>
      <c r="N98" s="10" t="str">
        <f aca="false">IF(H98="","",IF(K98="Cancelado",0,H98-M98))</f>
        <v/>
      </c>
      <c r="O98" s="10" t="str">
        <f aca="false">IF(OR(F98="",E98=""),"",IFERROR(IF(INDEX(Catálogo!$E$5:$E$34,MATCH(E98,Catálogo!$C$5:$C$34,0))=0,"",F98*INDEX(Catálogo!$E$5:$E$34,MATCH(E98,Catálogo!$C$5:$C$34,0))),""))</f>
        <v/>
      </c>
      <c r="P98" s="10" t="str">
        <f aca="false">IF(OR(H98="",O98=""),"",H98-O98)</f>
        <v/>
      </c>
      <c r="Q98" s="8"/>
      <c r="R98" s="6" t="str">
        <f aca="false">IF(J98="","",YEAR(J98))</f>
        <v/>
      </c>
      <c r="S98" s="6" t="str">
        <f aca="false">IF(J98="","",MONTH(J98))</f>
        <v/>
      </c>
    </row>
    <row r="99" customFormat="false" ht="15" hidden="false" customHeight="false" outlineLevel="0" collapsed="false">
      <c r="A99" s="6" t="str">
        <f aca="false">IF(C99="","",ROW()-5)</f>
        <v/>
      </c>
      <c r="B99" s="7"/>
      <c r="C99" s="8"/>
      <c r="D99" s="8"/>
      <c r="E99" s="8"/>
      <c r="F99" s="9"/>
      <c r="G99" s="10" t="str">
        <f aca="false">IF(E99="","",IFERROR(INDEX(Catálogo!$D$5:$D$34,MATCH(E99,Catálogo!$C$5:$C$34,0)),""))</f>
        <v/>
      </c>
      <c r="H99" s="10" t="str">
        <f aca="false">IF(OR(F99="",G99=""),"",F99*G99)</f>
        <v/>
      </c>
      <c r="I99" s="8"/>
      <c r="J99" s="7"/>
      <c r="K99" s="8"/>
      <c r="L99" s="8"/>
      <c r="M99" s="11"/>
      <c r="N99" s="10" t="str">
        <f aca="false">IF(H99="","",IF(K99="Cancelado",0,H99-M99))</f>
        <v/>
      </c>
      <c r="O99" s="10" t="str">
        <f aca="false">IF(OR(F99="",E99=""),"",IFERROR(IF(INDEX(Catálogo!$E$5:$E$34,MATCH(E99,Catálogo!$C$5:$C$34,0))=0,"",F99*INDEX(Catálogo!$E$5:$E$34,MATCH(E99,Catálogo!$C$5:$C$34,0))),""))</f>
        <v/>
      </c>
      <c r="P99" s="10" t="str">
        <f aca="false">IF(OR(H99="",O99=""),"",H99-O99)</f>
        <v/>
      </c>
      <c r="Q99" s="8"/>
      <c r="R99" s="6" t="str">
        <f aca="false">IF(J99="","",YEAR(J99))</f>
        <v/>
      </c>
      <c r="S99" s="6" t="str">
        <f aca="false">IF(J99="","",MONTH(J99))</f>
        <v/>
      </c>
    </row>
    <row r="100" customFormat="false" ht="15" hidden="false" customHeight="false" outlineLevel="0" collapsed="false">
      <c r="A100" s="6" t="str">
        <f aca="false">IF(C100="","",ROW()-5)</f>
        <v/>
      </c>
      <c r="B100" s="7"/>
      <c r="C100" s="8"/>
      <c r="D100" s="8"/>
      <c r="E100" s="8"/>
      <c r="F100" s="9"/>
      <c r="G100" s="10" t="str">
        <f aca="false">IF(E100="","",IFERROR(INDEX(Catálogo!$D$5:$D$34,MATCH(E100,Catálogo!$C$5:$C$34,0)),""))</f>
        <v/>
      </c>
      <c r="H100" s="10" t="str">
        <f aca="false">IF(OR(F100="",G100=""),"",F100*G100)</f>
        <v/>
      </c>
      <c r="I100" s="8"/>
      <c r="J100" s="7"/>
      <c r="K100" s="8"/>
      <c r="L100" s="8"/>
      <c r="M100" s="11"/>
      <c r="N100" s="10" t="str">
        <f aca="false">IF(H100="","",IF(K100="Cancelado",0,H100-M100))</f>
        <v/>
      </c>
      <c r="O100" s="10" t="str">
        <f aca="false">IF(OR(F100="",E100=""),"",IFERROR(IF(INDEX(Catálogo!$E$5:$E$34,MATCH(E100,Catálogo!$C$5:$C$34,0))=0,"",F100*INDEX(Catálogo!$E$5:$E$34,MATCH(E100,Catálogo!$C$5:$C$34,0))),""))</f>
        <v/>
      </c>
      <c r="P100" s="10" t="str">
        <f aca="false">IF(OR(H100="",O100=""),"",H100-O100)</f>
        <v/>
      </c>
      <c r="Q100" s="8"/>
      <c r="R100" s="6" t="str">
        <f aca="false">IF(J100="","",YEAR(J100))</f>
        <v/>
      </c>
      <c r="S100" s="6" t="str">
        <f aca="false">IF(J100="","",MONTH(J100))</f>
        <v/>
      </c>
    </row>
    <row r="101" customFormat="false" ht="15" hidden="false" customHeight="false" outlineLevel="0" collapsed="false">
      <c r="A101" s="6" t="str">
        <f aca="false">IF(C101="","",ROW()-5)</f>
        <v/>
      </c>
      <c r="B101" s="7"/>
      <c r="C101" s="8"/>
      <c r="D101" s="8"/>
      <c r="E101" s="8"/>
      <c r="F101" s="9"/>
      <c r="G101" s="10" t="str">
        <f aca="false">IF(E101="","",IFERROR(INDEX(Catálogo!$D$5:$D$34,MATCH(E101,Catálogo!$C$5:$C$34,0)),""))</f>
        <v/>
      </c>
      <c r="H101" s="10" t="str">
        <f aca="false">IF(OR(F101="",G101=""),"",F101*G101)</f>
        <v/>
      </c>
      <c r="I101" s="8"/>
      <c r="J101" s="7"/>
      <c r="K101" s="8"/>
      <c r="L101" s="8"/>
      <c r="M101" s="11"/>
      <c r="N101" s="10" t="str">
        <f aca="false">IF(H101="","",IF(K101="Cancelado",0,H101-M101))</f>
        <v/>
      </c>
      <c r="O101" s="10" t="str">
        <f aca="false">IF(OR(F101="",E101=""),"",IFERROR(IF(INDEX(Catálogo!$E$5:$E$34,MATCH(E101,Catálogo!$C$5:$C$34,0))=0,"",F101*INDEX(Catálogo!$E$5:$E$34,MATCH(E101,Catálogo!$C$5:$C$34,0))),""))</f>
        <v/>
      </c>
      <c r="P101" s="10" t="str">
        <f aca="false">IF(OR(H101="",O101=""),"",H101-O101)</f>
        <v/>
      </c>
      <c r="Q101" s="8"/>
      <c r="R101" s="6" t="str">
        <f aca="false">IF(J101="","",YEAR(J101))</f>
        <v/>
      </c>
      <c r="S101" s="6" t="str">
        <f aca="false">IF(J101="","",MONTH(J101))</f>
        <v/>
      </c>
    </row>
    <row r="102" customFormat="false" ht="15" hidden="false" customHeight="false" outlineLevel="0" collapsed="false">
      <c r="A102" s="6" t="str">
        <f aca="false">IF(C102="","",ROW()-5)</f>
        <v/>
      </c>
      <c r="B102" s="7"/>
      <c r="C102" s="8"/>
      <c r="D102" s="8"/>
      <c r="E102" s="8"/>
      <c r="F102" s="9"/>
      <c r="G102" s="10" t="str">
        <f aca="false">IF(E102="","",IFERROR(INDEX(Catálogo!$D$5:$D$34,MATCH(E102,Catálogo!$C$5:$C$34,0)),""))</f>
        <v/>
      </c>
      <c r="H102" s="10" t="str">
        <f aca="false">IF(OR(F102="",G102=""),"",F102*G102)</f>
        <v/>
      </c>
      <c r="I102" s="8"/>
      <c r="J102" s="7"/>
      <c r="K102" s="8"/>
      <c r="L102" s="8"/>
      <c r="M102" s="11"/>
      <c r="N102" s="10" t="str">
        <f aca="false">IF(H102="","",IF(K102="Cancelado",0,H102-M102))</f>
        <v/>
      </c>
      <c r="O102" s="10" t="str">
        <f aca="false">IF(OR(F102="",E102=""),"",IFERROR(IF(INDEX(Catálogo!$E$5:$E$34,MATCH(E102,Catálogo!$C$5:$C$34,0))=0,"",F102*INDEX(Catálogo!$E$5:$E$34,MATCH(E102,Catálogo!$C$5:$C$34,0))),""))</f>
        <v/>
      </c>
      <c r="P102" s="10" t="str">
        <f aca="false">IF(OR(H102="",O102=""),"",H102-O102)</f>
        <v/>
      </c>
      <c r="Q102" s="8"/>
      <c r="R102" s="6" t="str">
        <f aca="false">IF(J102="","",YEAR(J102))</f>
        <v/>
      </c>
      <c r="S102" s="6" t="str">
        <f aca="false">IF(J102="","",MONTH(J102))</f>
        <v/>
      </c>
    </row>
    <row r="103" customFormat="false" ht="15" hidden="false" customHeight="false" outlineLevel="0" collapsed="false">
      <c r="A103" s="6" t="str">
        <f aca="false">IF(C103="","",ROW()-5)</f>
        <v/>
      </c>
      <c r="B103" s="7"/>
      <c r="C103" s="8"/>
      <c r="D103" s="8"/>
      <c r="E103" s="8"/>
      <c r="F103" s="9"/>
      <c r="G103" s="10" t="str">
        <f aca="false">IF(E103="","",IFERROR(INDEX(Catálogo!$D$5:$D$34,MATCH(E103,Catálogo!$C$5:$C$34,0)),""))</f>
        <v/>
      </c>
      <c r="H103" s="10" t="str">
        <f aca="false">IF(OR(F103="",G103=""),"",F103*G103)</f>
        <v/>
      </c>
      <c r="I103" s="8"/>
      <c r="J103" s="7"/>
      <c r="K103" s="8"/>
      <c r="L103" s="8"/>
      <c r="M103" s="11"/>
      <c r="N103" s="10" t="str">
        <f aca="false">IF(H103="","",IF(K103="Cancelado",0,H103-M103))</f>
        <v/>
      </c>
      <c r="O103" s="10" t="str">
        <f aca="false">IF(OR(F103="",E103=""),"",IFERROR(IF(INDEX(Catálogo!$E$5:$E$34,MATCH(E103,Catálogo!$C$5:$C$34,0))=0,"",F103*INDEX(Catálogo!$E$5:$E$34,MATCH(E103,Catálogo!$C$5:$C$34,0))),""))</f>
        <v/>
      </c>
      <c r="P103" s="10" t="str">
        <f aca="false">IF(OR(H103="",O103=""),"",H103-O103)</f>
        <v/>
      </c>
      <c r="Q103" s="8"/>
      <c r="R103" s="6" t="str">
        <f aca="false">IF(J103="","",YEAR(J103))</f>
        <v/>
      </c>
      <c r="S103" s="6" t="str">
        <f aca="false">IF(J103="","",MONTH(J103))</f>
        <v/>
      </c>
    </row>
    <row r="104" customFormat="false" ht="15" hidden="false" customHeight="false" outlineLevel="0" collapsed="false">
      <c r="A104" s="6" t="str">
        <f aca="false">IF(C104="","",ROW()-5)</f>
        <v/>
      </c>
      <c r="B104" s="7"/>
      <c r="C104" s="8"/>
      <c r="D104" s="8"/>
      <c r="E104" s="8"/>
      <c r="F104" s="9"/>
      <c r="G104" s="10" t="str">
        <f aca="false">IF(E104="","",IFERROR(INDEX(Catálogo!$D$5:$D$34,MATCH(E104,Catálogo!$C$5:$C$34,0)),""))</f>
        <v/>
      </c>
      <c r="H104" s="10" t="str">
        <f aca="false">IF(OR(F104="",G104=""),"",F104*G104)</f>
        <v/>
      </c>
      <c r="I104" s="8"/>
      <c r="J104" s="7"/>
      <c r="K104" s="8"/>
      <c r="L104" s="8"/>
      <c r="M104" s="11"/>
      <c r="N104" s="10" t="str">
        <f aca="false">IF(H104="","",IF(K104="Cancelado",0,H104-M104))</f>
        <v/>
      </c>
      <c r="O104" s="10" t="str">
        <f aca="false">IF(OR(F104="",E104=""),"",IFERROR(IF(INDEX(Catálogo!$E$5:$E$34,MATCH(E104,Catálogo!$C$5:$C$34,0))=0,"",F104*INDEX(Catálogo!$E$5:$E$34,MATCH(E104,Catálogo!$C$5:$C$34,0))),""))</f>
        <v/>
      </c>
      <c r="P104" s="10" t="str">
        <f aca="false">IF(OR(H104="",O104=""),"",H104-O104)</f>
        <v/>
      </c>
      <c r="Q104" s="8"/>
      <c r="R104" s="6" t="str">
        <f aca="false">IF(J104="","",YEAR(J104))</f>
        <v/>
      </c>
      <c r="S104" s="6" t="str">
        <f aca="false">IF(J104="","",MONTH(J104))</f>
        <v/>
      </c>
    </row>
    <row r="105" customFormat="false" ht="15" hidden="false" customHeight="false" outlineLevel="0" collapsed="false">
      <c r="A105" s="6" t="str">
        <f aca="false">IF(C105="","",ROW()-5)</f>
        <v/>
      </c>
      <c r="B105" s="7"/>
      <c r="C105" s="8"/>
      <c r="D105" s="8"/>
      <c r="E105" s="8"/>
      <c r="F105" s="9"/>
      <c r="G105" s="10" t="str">
        <f aca="false">IF(E105="","",IFERROR(INDEX(Catálogo!$D$5:$D$34,MATCH(E105,Catálogo!$C$5:$C$34,0)),""))</f>
        <v/>
      </c>
      <c r="H105" s="10" t="str">
        <f aca="false">IF(OR(F105="",G105=""),"",F105*G105)</f>
        <v/>
      </c>
      <c r="I105" s="8"/>
      <c r="J105" s="7"/>
      <c r="K105" s="8"/>
      <c r="L105" s="8"/>
      <c r="M105" s="11"/>
      <c r="N105" s="10" t="str">
        <f aca="false">IF(H105="","",IF(K105="Cancelado",0,H105-M105))</f>
        <v/>
      </c>
      <c r="O105" s="10" t="str">
        <f aca="false">IF(OR(F105="",E105=""),"",IFERROR(IF(INDEX(Catálogo!$E$5:$E$34,MATCH(E105,Catálogo!$C$5:$C$34,0))=0,"",F105*INDEX(Catálogo!$E$5:$E$34,MATCH(E105,Catálogo!$C$5:$C$34,0))),""))</f>
        <v/>
      </c>
      <c r="P105" s="10" t="str">
        <f aca="false">IF(OR(H105="",O105=""),"",H105-O105)</f>
        <v/>
      </c>
      <c r="Q105" s="8"/>
      <c r="R105" s="6" t="str">
        <f aca="false">IF(J105="","",YEAR(J105))</f>
        <v/>
      </c>
      <c r="S105" s="6" t="str">
        <f aca="false">IF(J105="","",MONTH(J105))</f>
        <v/>
      </c>
    </row>
    <row r="106" customFormat="false" ht="15" hidden="false" customHeight="false" outlineLevel="0" collapsed="false">
      <c r="A106" s="6" t="str">
        <f aca="false">IF(C106="","",ROW()-5)</f>
        <v/>
      </c>
      <c r="B106" s="7"/>
      <c r="C106" s="8"/>
      <c r="D106" s="8"/>
      <c r="E106" s="8"/>
      <c r="F106" s="9"/>
      <c r="G106" s="10" t="str">
        <f aca="false">IF(E106="","",IFERROR(INDEX(Catálogo!$D$5:$D$34,MATCH(E106,Catálogo!$C$5:$C$34,0)),""))</f>
        <v/>
      </c>
      <c r="H106" s="10" t="str">
        <f aca="false">IF(OR(F106="",G106=""),"",F106*G106)</f>
        <v/>
      </c>
      <c r="I106" s="8"/>
      <c r="J106" s="7"/>
      <c r="K106" s="8"/>
      <c r="L106" s="8"/>
      <c r="M106" s="11"/>
      <c r="N106" s="10" t="str">
        <f aca="false">IF(H106="","",IF(K106="Cancelado",0,H106-M106))</f>
        <v/>
      </c>
      <c r="O106" s="10" t="str">
        <f aca="false">IF(OR(F106="",E106=""),"",IFERROR(IF(INDEX(Catálogo!$E$5:$E$34,MATCH(E106,Catálogo!$C$5:$C$34,0))=0,"",F106*INDEX(Catálogo!$E$5:$E$34,MATCH(E106,Catálogo!$C$5:$C$34,0))),""))</f>
        <v/>
      </c>
      <c r="P106" s="10" t="str">
        <f aca="false">IF(OR(H106="",O106=""),"",H106-O106)</f>
        <v/>
      </c>
      <c r="Q106" s="8"/>
      <c r="R106" s="6" t="str">
        <f aca="false">IF(J106="","",YEAR(J106))</f>
        <v/>
      </c>
      <c r="S106" s="6" t="str">
        <f aca="false">IF(J106="","",MONTH(J106))</f>
        <v/>
      </c>
    </row>
    <row r="107" customFormat="false" ht="15" hidden="false" customHeight="false" outlineLevel="0" collapsed="false">
      <c r="A107" s="6" t="str">
        <f aca="false">IF(C107="","",ROW()-5)</f>
        <v/>
      </c>
      <c r="B107" s="7"/>
      <c r="C107" s="8"/>
      <c r="D107" s="8"/>
      <c r="E107" s="8"/>
      <c r="F107" s="9"/>
      <c r="G107" s="10" t="str">
        <f aca="false">IF(E107="","",IFERROR(INDEX(Catálogo!$D$5:$D$34,MATCH(E107,Catálogo!$C$5:$C$34,0)),""))</f>
        <v/>
      </c>
      <c r="H107" s="10" t="str">
        <f aca="false">IF(OR(F107="",G107=""),"",F107*G107)</f>
        <v/>
      </c>
      <c r="I107" s="8"/>
      <c r="J107" s="7"/>
      <c r="K107" s="8"/>
      <c r="L107" s="8"/>
      <c r="M107" s="11"/>
      <c r="N107" s="10" t="str">
        <f aca="false">IF(H107="","",IF(K107="Cancelado",0,H107-M107))</f>
        <v/>
      </c>
      <c r="O107" s="10" t="str">
        <f aca="false">IF(OR(F107="",E107=""),"",IFERROR(IF(INDEX(Catálogo!$E$5:$E$34,MATCH(E107,Catálogo!$C$5:$C$34,0))=0,"",F107*INDEX(Catálogo!$E$5:$E$34,MATCH(E107,Catálogo!$C$5:$C$34,0))),""))</f>
        <v/>
      </c>
      <c r="P107" s="10" t="str">
        <f aca="false">IF(OR(H107="",O107=""),"",H107-O107)</f>
        <v/>
      </c>
      <c r="Q107" s="8"/>
      <c r="R107" s="6" t="str">
        <f aca="false">IF(J107="","",YEAR(J107))</f>
        <v/>
      </c>
      <c r="S107" s="6" t="str">
        <f aca="false">IF(J107="","",MONTH(J107))</f>
        <v/>
      </c>
    </row>
    <row r="108" customFormat="false" ht="15" hidden="false" customHeight="false" outlineLevel="0" collapsed="false">
      <c r="A108" s="6" t="str">
        <f aca="false">IF(C108="","",ROW()-5)</f>
        <v/>
      </c>
      <c r="B108" s="7"/>
      <c r="C108" s="8"/>
      <c r="D108" s="8"/>
      <c r="E108" s="8"/>
      <c r="F108" s="9"/>
      <c r="G108" s="10" t="str">
        <f aca="false">IF(E108="","",IFERROR(INDEX(Catálogo!$D$5:$D$34,MATCH(E108,Catálogo!$C$5:$C$34,0)),""))</f>
        <v/>
      </c>
      <c r="H108" s="10" t="str">
        <f aca="false">IF(OR(F108="",G108=""),"",F108*G108)</f>
        <v/>
      </c>
      <c r="I108" s="8"/>
      <c r="J108" s="7"/>
      <c r="K108" s="8"/>
      <c r="L108" s="8"/>
      <c r="M108" s="11"/>
      <c r="N108" s="10" t="str">
        <f aca="false">IF(H108="","",IF(K108="Cancelado",0,H108-M108))</f>
        <v/>
      </c>
      <c r="O108" s="10" t="str">
        <f aca="false">IF(OR(F108="",E108=""),"",IFERROR(IF(INDEX(Catálogo!$E$5:$E$34,MATCH(E108,Catálogo!$C$5:$C$34,0))=0,"",F108*INDEX(Catálogo!$E$5:$E$34,MATCH(E108,Catálogo!$C$5:$C$34,0))),""))</f>
        <v/>
      </c>
      <c r="P108" s="10" t="str">
        <f aca="false">IF(OR(H108="",O108=""),"",H108-O108)</f>
        <v/>
      </c>
      <c r="Q108" s="8"/>
      <c r="R108" s="6" t="str">
        <f aca="false">IF(J108="","",YEAR(J108))</f>
        <v/>
      </c>
      <c r="S108" s="6" t="str">
        <f aca="false">IF(J108="","",MONTH(J108))</f>
        <v/>
      </c>
    </row>
    <row r="109" customFormat="false" ht="15" hidden="false" customHeight="false" outlineLevel="0" collapsed="false">
      <c r="A109" s="6" t="str">
        <f aca="false">IF(C109="","",ROW()-5)</f>
        <v/>
      </c>
      <c r="B109" s="7"/>
      <c r="C109" s="8"/>
      <c r="D109" s="8"/>
      <c r="E109" s="8"/>
      <c r="F109" s="9"/>
      <c r="G109" s="10" t="str">
        <f aca="false">IF(E109="","",IFERROR(INDEX(Catálogo!$D$5:$D$34,MATCH(E109,Catálogo!$C$5:$C$34,0)),""))</f>
        <v/>
      </c>
      <c r="H109" s="10" t="str">
        <f aca="false">IF(OR(F109="",G109=""),"",F109*G109)</f>
        <v/>
      </c>
      <c r="I109" s="8"/>
      <c r="J109" s="7"/>
      <c r="K109" s="8"/>
      <c r="L109" s="8"/>
      <c r="M109" s="11"/>
      <c r="N109" s="10" t="str">
        <f aca="false">IF(H109="","",IF(K109="Cancelado",0,H109-M109))</f>
        <v/>
      </c>
      <c r="O109" s="10" t="str">
        <f aca="false">IF(OR(F109="",E109=""),"",IFERROR(IF(INDEX(Catálogo!$E$5:$E$34,MATCH(E109,Catálogo!$C$5:$C$34,0))=0,"",F109*INDEX(Catálogo!$E$5:$E$34,MATCH(E109,Catálogo!$C$5:$C$34,0))),""))</f>
        <v/>
      </c>
      <c r="P109" s="10" t="str">
        <f aca="false">IF(OR(H109="",O109=""),"",H109-O109)</f>
        <v/>
      </c>
      <c r="Q109" s="8"/>
      <c r="R109" s="6" t="str">
        <f aca="false">IF(J109="","",YEAR(J109))</f>
        <v/>
      </c>
      <c r="S109" s="6" t="str">
        <f aca="false">IF(J109="","",MONTH(J109))</f>
        <v/>
      </c>
    </row>
    <row r="110" customFormat="false" ht="15" hidden="false" customHeight="false" outlineLevel="0" collapsed="false">
      <c r="A110" s="6" t="str">
        <f aca="false">IF(C110="","",ROW()-5)</f>
        <v/>
      </c>
      <c r="B110" s="7"/>
      <c r="C110" s="8"/>
      <c r="D110" s="8"/>
      <c r="E110" s="8"/>
      <c r="F110" s="9"/>
      <c r="G110" s="10" t="str">
        <f aca="false">IF(E110="","",IFERROR(INDEX(Catálogo!$D$5:$D$34,MATCH(E110,Catálogo!$C$5:$C$34,0)),""))</f>
        <v/>
      </c>
      <c r="H110" s="10" t="str">
        <f aca="false">IF(OR(F110="",G110=""),"",F110*G110)</f>
        <v/>
      </c>
      <c r="I110" s="8"/>
      <c r="J110" s="7"/>
      <c r="K110" s="8"/>
      <c r="L110" s="8"/>
      <c r="M110" s="11"/>
      <c r="N110" s="10" t="str">
        <f aca="false">IF(H110="","",IF(K110="Cancelado",0,H110-M110))</f>
        <v/>
      </c>
      <c r="O110" s="10" t="str">
        <f aca="false">IF(OR(F110="",E110=""),"",IFERROR(IF(INDEX(Catálogo!$E$5:$E$34,MATCH(E110,Catálogo!$C$5:$C$34,0))=0,"",F110*INDEX(Catálogo!$E$5:$E$34,MATCH(E110,Catálogo!$C$5:$C$34,0))),""))</f>
        <v/>
      </c>
      <c r="P110" s="10" t="str">
        <f aca="false">IF(OR(H110="",O110=""),"",H110-O110)</f>
        <v/>
      </c>
      <c r="Q110" s="8"/>
      <c r="R110" s="6" t="str">
        <f aca="false">IF(J110="","",YEAR(J110))</f>
        <v/>
      </c>
      <c r="S110" s="6" t="str">
        <f aca="false">IF(J110="","",MONTH(J110))</f>
        <v/>
      </c>
    </row>
    <row r="111" customFormat="false" ht="15" hidden="false" customHeight="false" outlineLevel="0" collapsed="false">
      <c r="A111" s="6" t="str">
        <f aca="false">IF(C111="","",ROW()-5)</f>
        <v/>
      </c>
      <c r="B111" s="7"/>
      <c r="C111" s="8"/>
      <c r="D111" s="8"/>
      <c r="E111" s="8"/>
      <c r="F111" s="9"/>
      <c r="G111" s="10" t="str">
        <f aca="false">IF(E111="","",IFERROR(INDEX(Catálogo!$D$5:$D$34,MATCH(E111,Catálogo!$C$5:$C$34,0)),""))</f>
        <v/>
      </c>
      <c r="H111" s="10" t="str">
        <f aca="false">IF(OR(F111="",G111=""),"",F111*G111)</f>
        <v/>
      </c>
      <c r="I111" s="8"/>
      <c r="J111" s="7"/>
      <c r="K111" s="8"/>
      <c r="L111" s="8"/>
      <c r="M111" s="11"/>
      <c r="N111" s="10" t="str">
        <f aca="false">IF(H111="","",IF(K111="Cancelado",0,H111-M111))</f>
        <v/>
      </c>
      <c r="O111" s="10" t="str">
        <f aca="false">IF(OR(F111="",E111=""),"",IFERROR(IF(INDEX(Catálogo!$E$5:$E$34,MATCH(E111,Catálogo!$C$5:$C$34,0))=0,"",F111*INDEX(Catálogo!$E$5:$E$34,MATCH(E111,Catálogo!$C$5:$C$34,0))),""))</f>
        <v/>
      </c>
      <c r="P111" s="10" t="str">
        <f aca="false">IF(OR(H111="",O111=""),"",H111-O111)</f>
        <v/>
      </c>
      <c r="Q111" s="8"/>
      <c r="R111" s="6" t="str">
        <f aca="false">IF(J111="","",YEAR(J111))</f>
        <v/>
      </c>
      <c r="S111" s="6" t="str">
        <f aca="false">IF(J111="","",MONTH(J111))</f>
        <v/>
      </c>
    </row>
    <row r="112" customFormat="false" ht="15" hidden="false" customHeight="false" outlineLevel="0" collapsed="false">
      <c r="A112" s="6" t="str">
        <f aca="false">IF(C112="","",ROW()-5)</f>
        <v/>
      </c>
      <c r="B112" s="7"/>
      <c r="C112" s="8"/>
      <c r="D112" s="8"/>
      <c r="E112" s="8"/>
      <c r="F112" s="9"/>
      <c r="G112" s="10" t="str">
        <f aca="false">IF(E112="","",IFERROR(INDEX(Catálogo!$D$5:$D$34,MATCH(E112,Catálogo!$C$5:$C$34,0)),""))</f>
        <v/>
      </c>
      <c r="H112" s="10" t="str">
        <f aca="false">IF(OR(F112="",G112=""),"",F112*G112)</f>
        <v/>
      </c>
      <c r="I112" s="8"/>
      <c r="J112" s="7"/>
      <c r="K112" s="8"/>
      <c r="L112" s="8"/>
      <c r="M112" s="11"/>
      <c r="N112" s="10" t="str">
        <f aca="false">IF(H112="","",IF(K112="Cancelado",0,H112-M112))</f>
        <v/>
      </c>
      <c r="O112" s="10" t="str">
        <f aca="false">IF(OR(F112="",E112=""),"",IFERROR(IF(INDEX(Catálogo!$E$5:$E$34,MATCH(E112,Catálogo!$C$5:$C$34,0))=0,"",F112*INDEX(Catálogo!$E$5:$E$34,MATCH(E112,Catálogo!$C$5:$C$34,0))),""))</f>
        <v/>
      </c>
      <c r="P112" s="10" t="str">
        <f aca="false">IF(OR(H112="",O112=""),"",H112-O112)</f>
        <v/>
      </c>
      <c r="Q112" s="8"/>
      <c r="R112" s="6" t="str">
        <f aca="false">IF(J112="","",YEAR(J112))</f>
        <v/>
      </c>
      <c r="S112" s="6" t="str">
        <f aca="false">IF(J112="","",MONTH(J112))</f>
        <v/>
      </c>
    </row>
    <row r="113" customFormat="false" ht="15" hidden="false" customHeight="false" outlineLevel="0" collapsed="false">
      <c r="A113" s="6" t="str">
        <f aca="false">IF(C113="","",ROW()-5)</f>
        <v/>
      </c>
      <c r="B113" s="7"/>
      <c r="C113" s="8"/>
      <c r="D113" s="8"/>
      <c r="E113" s="8"/>
      <c r="F113" s="9"/>
      <c r="G113" s="10" t="str">
        <f aca="false">IF(E113="","",IFERROR(INDEX(Catálogo!$D$5:$D$34,MATCH(E113,Catálogo!$C$5:$C$34,0)),""))</f>
        <v/>
      </c>
      <c r="H113" s="10" t="str">
        <f aca="false">IF(OR(F113="",G113=""),"",F113*G113)</f>
        <v/>
      </c>
      <c r="I113" s="8"/>
      <c r="J113" s="7"/>
      <c r="K113" s="8"/>
      <c r="L113" s="8"/>
      <c r="M113" s="11"/>
      <c r="N113" s="10" t="str">
        <f aca="false">IF(H113="","",IF(K113="Cancelado",0,H113-M113))</f>
        <v/>
      </c>
      <c r="O113" s="10" t="str">
        <f aca="false">IF(OR(F113="",E113=""),"",IFERROR(IF(INDEX(Catálogo!$E$5:$E$34,MATCH(E113,Catálogo!$C$5:$C$34,0))=0,"",F113*INDEX(Catálogo!$E$5:$E$34,MATCH(E113,Catálogo!$C$5:$C$34,0))),""))</f>
        <v/>
      </c>
      <c r="P113" s="10" t="str">
        <f aca="false">IF(OR(H113="",O113=""),"",H113-O113)</f>
        <v/>
      </c>
      <c r="Q113" s="8"/>
      <c r="R113" s="6" t="str">
        <f aca="false">IF(J113="","",YEAR(J113))</f>
        <v/>
      </c>
      <c r="S113" s="6" t="str">
        <f aca="false">IF(J113="","",MONTH(J113))</f>
        <v/>
      </c>
    </row>
    <row r="114" customFormat="false" ht="15" hidden="false" customHeight="false" outlineLevel="0" collapsed="false">
      <c r="A114" s="6" t="str">
        <f aca="false">IF(C114="","",ROW()-5)</f>
        <v/>
      </c>
      <c r="B114" s="7"/>
      <c r="C114" s="8"/>
      <c r="D114" s="8"/>
      <c r="E114" s="8"/>
      <c r="F114" s="9"/>
      <c r="G114" s="10" t="str">
        <f aca="false">IF(E114="","",IFERROR(INDEX(Catálogo!$D$5:$D$34,MATCH(E114,Catálogo!$C$5:$C$34,0)),""))</f>
        <v/>
      </c>
      <c r="H114" s="10" t="str">
        <f aca="false">IF(OR(F114="",G114=""),"",F114*G114)</f>
        <v/>
      </c>
      <c r="I114" s="8"/>
      <c r="J114" s="7"/>
      <c r="K114" s="8"/>
      <c r="L114" s="8"/>
      <c r="M114" s="11"/>
      <c r="N114" s="10" t="str">
        <f aca="false">IF(H114="","",IF(K114="Cancelado",0,H114-M114))</f>
        <v/>
      </c>
      <c r="O114" s="10" t="str">
        <f aca="false">IF(OR(F114="",E114=""),"",IFERROR(IF(INDEX(Catálogo!$E$5:$E$34,MATCH(E114,Catálogo!$C$5:$C$34,0))=0,"",F114*INDEX(Catálogo!$E$5:$E$34,MATCH(E114,Catálogo!$C$5:$C$34,0))),""))</f>
        <v/>
      </c>
      <c r="P114" s="10" t="str">
        <f aca="false">IF(OR(H114="",O114=""),"",H114-O114)</f>
        <v/>
      </c>
      <c r="Q114" s="8"/>
      <c r="R114" s="6" t="str">
        <f aca="false">IF(J114="","",YEAR(J114))</f>
        <v/>
      </c>
      <c r="S114" s="6" t="str">
        <f aca="false">IF(J114="","",MONTH(J114))</f>
        <v/>
      </c>
    </row>
    <row r="115" customFormat="false" ht="15" hidden="false" customHeight="false" outlineLevel="0" collapsed="false">
      <c r="A115" s="6" t="str">
        <f aca="false">IF(C115="","",ROW()-5)</f>
        <v/>
      </c>
      <c r="B115" s="7"/>
      <c r="C115" s="8"/>
      <c r="D115" s="8"/>
      <c r="E115" s="8"/>
      <c r="F115" s="9"/>
      <c r="G115" s="10" t="str">
        <f aca="false">IF(E115="","",IFERROR(INDEX(Catálogo!$D$5:$D$34,MATCH(E115,Catálogo!$C$5:$C$34,0)),""))</f>
        <v/>
      </c>
      <c r="H115" s="10" t="str">
        <f aca="false">IF(OR(F115="",G115=""),"",F115*G115)</f>
        <v/>
      </c>
      <c r="I115" s="8"/>
      <c r="J115" s="7"/>
      <c r="K115" s="8"/>
      <c r="L115" s="8"/>
      <c r="M115" s="11"/>
      <c r="N115" s="10" t="str">
        <f aca="false">IF(H115="","",IF(K115="Cancelado",0,H115-M115))</f>
        <v/>
      </c>
      <c r="O115" s="10" t="str">
        <f aca="false">IF(OR(F115="",E115=""),"",IFERROR(IF(INDEX(Catálogo!$E$5:$E$34,MATCH(E115,Catálogo!$C$5:$C$34,0))=0,"",F115*INDEX(Catálogo!$E$5:$E$34,MATCH(E115,Catálogo!$C$5:$C$34,0))),""))</f>
        <v/>
      </c>
      <c r="P115" s="10" t="str">
        <f aca="false">IF(OR(H115="",O115=""),"",H115-O115)</f>
        <v/>
      </c>
      <c r="Q115" s="8"/>
      <c r="R115" s="6" t="str">
        <f aca="false">IF(J115="","",YEAR(J115))</f>
        <v/>
      </c>
      <c r="S115" s="6" t="str">
        <f aca="false">IF(J115="","",MONTH(J115))</f>
        <v/>
      </c>
    </row>
    <row r="116" customFormat="false" ht="15" hidden="false" customHeight="false" outlineLevel="0" collapsed="false">
      <c r="A116" s="6" t="str">
        <f aca="false">IF(C116="","",ROW()-5)</f>
        <v/>
      </c>
      <c r="B116" s="7"/>
      <c r="C116" s="8"/>
      <c r="D116" s="8"/>
      <c r="E116" s="8"/>
      <c r="F116" s="9"/>
      <c r="G116" s="10" t="str">
        <f aca="false">IF(E116="","",IFERROR(INDEX(Catálogo!$D$5:$D$34,MATCH(E116,Catálogo!$C$5:$C$34,0)),""))</f>
        <v/>
      </c>
      <c r="H116" s="10" t="str">
        <f aca="false">IF(OR(F116="",G116=""),"",F116*G116)</f>
        <v/>
      </c>
      <c r="I116" s="8"/>
      <c r="J116" s="7"/>
      <c r="K116" s="8"/>
      <c r="L116" s="8"/>
      <c r="M116" s="11"/>
      <c r="N116" s="10" t="str">
        <f aca="false">IF(H116="","",IF(K116="Cancelado",0,H116-M116))</f>
        <v/>
      </c>
      <c r="O116" s="10" t="str">
        <f aca="false">IF(OR(F116="",E116=""),"",IFERROR(IF(INDEX(Catálogo!$E$5:$E$34,MATCH(E116,Catálogo!$C$5:$C$34,0))=0,"",F116*INDEX(Catálogo!$E$5:$E$34,MATCH(E116,Catálogo!$C$5:$C$34,0))),""))</f>
        <v/>
      </c>
      <c r="P116" s="10" t="str">
        <f aca="false">IF(OR(H116="",O116=""),"",H116-O116)</f>
        <v/>
      </c>
      <c r="Q116" s="8"/>
      <c r="R116" s="6" t="str">
        <f aca="false">IF(J116="","",YEAR(J116))</f>
        <v/>
      </c>
      <c r="S116" s="6" t="str">
        <f aca="false">IF(J116="","",MONTH(J116))</f>
        <v/>
      </c>
    </row>
    <row r="117" customFormat="false" ht="15" hidden="false" customHeight="false" outlineLevel="0" collapsed="false">
      <c r="A117" s="6" t="str">
        <f aca="false">IF(C117="","",ROW()-5)</f>
        <v/>
      </c>
      <c r="B117" s="7"/>
      <c r="C117" s="8"/>
      <c r="D117" s="8"/>
      <c r="E117" s="8"/>
      <c r="F117" s="9"/>
      <c r="G117" s="10" t="str">
        <f aca="false">IF(E117="","",IFERROR(INDEX(Catálogo!$D$5:$D$34,MATCH(E117,Catálogo!$C$5:$C$34,0)),""))</f>
        <v/>
      </c>
      <c r="H117" s="10" t="str">
        <f aca="false">IF(OR(F117="",G117=""),"",F117*G117)</f>
        <v/>
      </c>
      <c r="I117" s="8"/>
      <c r="J117" s="7"/>
      <c r="K117" s="8"/>
      <c r="L117" s="8"/>
      <c r="M117" s="11"/>
      <c r="N117" s="10" t="str">
        <f aca="false">IF(H117="","",IF(K117="Cancelado",0,H117-M117))</f>
        <v/>
      </c>
      <c r="O117" s="10" t="str">
        <f aca="false">IF(OR(F117="",E117=""),"",IFERROR(IF(INDEX(Catálogo!$E$5:$E$34,MATCH(E117,Catálogo!$C$5:$C$34,0))=0,"",F117*INDEX(Catálogo!$E$5:$E$34,MATCH(E117,Catálogo!$C$5:$C$34,0))),""))</f>
        <v/>
      </c>
      <c r="P117" s="10" t="str">
        <f aca="false">IF(OR(H117="",O117=""),"",H117-O117)</f>
        <v/>
      </c>
      <c r="Q117" s="8"/>
      <c r="R117" s="6" t="str">
        <f aca="false">IF(J117="","",YEAR(J117))</f>
        <v/>
      </c>
      <c r="S117" s="6" t="str">
        <f aca="false">IF(J117="","",MONTH(J117))</f>
        <v/>
      </c>
    </row>
    <row r="118" customFormat="false" ht="15" hidden="false" customHeight="false" outlineLevel="0" collapsed="false">
      <c r="A118" s="6" t="str">
        <f aca="false">IF(C118="","",ROW()-5)</f>
        <v/>
      </c>
      <c r="B118" s="7"/>
      <c r="C118" s="8"/>
      <c r="D118" s="8"/>
      <c r="E118" s="8"/>
      <c r="F118" s="9"/>
      <c r="G118" s="10" t="str">
        <f aca="false">IF(E118="","",IFERROR(INDEX(Catálogo!$D$5:$D$34,MATCH(E118,Catálogo!$C$5:$C$34,0)),""))</f>
        <v/>
      </c>
      <c r="H118" s="10" t="str">
        <f aca="false">IF(OR(F118="",G118=""),"",F118*G118)</f>
        <v/>
      </c>
      <c r="I118" s="8"/>
      <c r="J118" s="7"/>
      <c r="K118" s="8"/>
      <c r="L118" s="8"/>
      <c r="M118" s="11"/>
      <c r="N118" s="10" t="str">
        <f aca="false">IF(H118="","",IF(K118="Cancelado",0,H118-M118))</f>
        <v/>
      </c>
      <c r="O118" s="10" t="str">
        <f aca="false">IF(OR(F118="",E118=""),"",IFERROR(IF(INDEX(Catálogo!$E$5:$E$34,MATCH(E118,Catálogo!$C$5:$C$34,0))=0,"",F118*INDEX(Catálogo!$E$5:$E$34,MATCH(E118,Catálogo!$C$5:$C$34,0))),""))</f>
        <v/>
      </c>
      <c r="P118" s="10" t="str">
        <f aca="false">IF(OR(H118="",O118=""),"",H118-O118)</f>
        <v/>
      </c>
      <c r="Q118" s="8"/>
      <c r="R118" s="6" t="str">
        <f aca="false">IF(J118="","",YEAR(J118))</f>
        <v/>
      </c>
      <c r="S118" s="6" t="str">
        <f aca="false">IF(J118="","",MONTH(J118))</f>
        <v/>
      </c>
    </row>
    <row r="119" customFormat="false" ht="15" hidden="false" customHeight="false" outlineLevel="0" collapsed="false">
      <c r="A119" s="6" t="str">
        <f aca="false">IF(C119="","",ROW()-5)</f>
        <v/>
      </c>
      <c r="B119" s="7"/>
      <c r="C119" s="8"/>
      <c r="D119" s="8"/>
      <c r="E119" s="8"/>
      <c r="F119" s="9"/>
      <c r="G119" s="10" t="str">
        <f aca="false">IF(E119="","",IFERROR(INDEX(Catálogo!$D$5:$D$34,MATCH(E119,Catálogo!$C$5:$C$34,0)),""))</f>
        <v/>
      </c>
      <c r="H119" s="10" t="str">
        <f aca="false">IF(OR(F119="",G119=""),"",F119*G119)</f>
        <v/>
      </c>
      <c r="I119" s="8"/>
      <c r="J119" s="7"/>
      <c r="K119" s="8"/>
      <c r="L119" s="8"/>
      <c r="M119" s="11"/>
      <c r="N119" s="10" t="str">
        <f aca="false">IF(H119="","",IF(K119="Cancelado",0,H119-M119))</f>
        <v/>
      </c>
      <c r="O119" s="10" t="str">
        <f aca="false">IF(OR(F119="",E119=""),"",IFERROR(IF(INDEX(Catálogo!$E$5:$E$34,MATCH(E119,Catálogo!$C$5:$C$34,0))=0,"",F119*INDEX(Catálogo!$E$5:$E$34,MATCH(E119,Catálogo!$C$5:$C$34,0))),""))</f>
        <v/>
      </c>
      <c r="P119" s="10" t="str">
        <f aca="false">IF(OR(H119="",O119=""),"",H119-O119)</f>
        <v/>
      </c>
      <c r="Q119" s="8"/>
      <c r="R119" s="6" t="str">
        <f aca="false">IF(J119="","",YEAR(J119))</f>
        <v/>
      </c>
      <c r="S119" s="6" t="str">
        <f aca="false">IF(J119="","",MONTH(J119))</f>
        <v/>
      </c>
    </row>
    <row r="120" customFormat="false" ht="15" hidden="false" customHeight="false" outlineLevel="0" collapsed="false">
      <c r="A120" s="6" t="str">
        <f aca="false">IF(C120="","",ROW()-5)</f>
        <v/>
      </c>
      <c r="B120" s="7"/>
      <c r="C120" s="8"/>
      <c r="D120" s="8"/>
      <c r="E120" s="8"/>
      <c r="F120" s="9"/>
      <c r="G120" s="10" t="str">
        <f aca="false">IF(E120="","",IFERROR(INDEX(Catálogo!$D$5:$D$34,MATCH(E120,Catálogo!$C$5:$C$34,0)),""))</f>
        <v/>
      </c>
      <c r="H120" s="10" t="str">
        <f aca="false">IF(OR(F120="",G120=""),"",F120*G120)</f>
        <v/>
      </c>
      <c r="I120" s="8"/>
      <c r="J120" s="7"/>
      <c r="K120" s="8"/>
      <c r="L120" s="8"/>
      <c r="M120" s="11"/>
      <c r="N120" s="10" t="str">
        <f aca="false">IF(H120="","",IF(K120="Cancelado",0,H120-M120))</f>
        <v/>
      </c>
      <c r="O120" s="10" t="str">
        <f aca="false">IF(OR(F120="",E120=""),"",IFERROR(IF(INDEX(Catálogo!$E$5:$E$34,MATCH(E120,Catálogo!$C$5:$C$34,0))=0,"",F120*INDEX(Catálogo!$E$5:$E$34,MATCH(E120,Catálogo!$C$5:$C$34,0))),""))</f>
        <v/>
      </c>
      <c r="P120" s="10" t="str">
        <f aca="false">IF(OR(H120="",O120=""),"",H120-O120)</f>
        <v/>
      </c>
      <c r="Q120" s="8"/>
      <c r="R120" s="6" t="str">
        <f aca="false">IF(J120="","",YEAR(J120))</f>
        <v/>
      </c>
      <c r="S120" s="6" t="str">
        <f aca="false">IF(J120="","",MONTH(J120))</f>
        <v/>
      </c>
    </row>
    <row r="121" customFormat="false" ht="15" hidden="false" customHeight="false" outlineLevel="0" collapsed="false">
      <c r="A121" s="6" t="str">
        <f aca="false">IF(C121="","",ROW()-5)</f>
        <v/>
      </c>
      <c r="B121" s="7"/>
      <c r="C121" s="8"/>
      <c r="D121" s="8"/>
      <c r="E121" s="8"/>
      <c r="F121" s="9"/>
      <c r="G121" s="10" t="str">
        <f aca="false">IF(E121="","",IFERROR(INDEX(Catálogo!$D$5:$D$34,MATCH(E121,Catálogo!$C$5:$C$34,0)),""))</f>
        <v/>
      </c>
      <c r="H121" s="10" t="str">
        <f aca="false">IF(OR(F121="",G121=""),"",F121*G121)</f>
        <v/>
      </c>
      <c r="I121" s="8"/>
      <c r="J121" s="7"/>
      <c r="K121" s="8"/>
      <c r="L121" s="8"/>
      <c r="M121" s="11"/>
      <c r="N121" s="10" t="str">
        <f aca="false">IF(H121="","",IF(K121="Cancelado",0,H121-M121))</f>
        <v/>
      </c>
      <c r="O121" s="10" t="str">
        <f aca="false">IF(OR(F121="",E121=""),"",IFERROR(IF(INDEX(Catálogo!$E$5:$E$34,MATCH(E121,Catálogo!$C$5:$C$34,0))=0,"",F121*INDEX(Catálogo!$E$5:$E$34,MATCH(E121,Catálogo!$C$5:$C$34,0))),""))</f>
        <v/>
      </c>
      <c r="P121" s="10" t="str">
        <f aca="false">IF(OR(H121="",O121=""),"",H121-O121)</f>
        <v/>
      </c>
      <c r="Q121" s="8"/>
      <c r="R121" s="6" t="str">
        <f aca="false">IF(J121="","",YEAR(J121))</f>
        <v/>
      </c>
      <c r="S121" s="6" t="str">
        <f aca="false">IF(J121="","",MONTH(J121))</f>
        <v/>
      </c>
    </row>
    <row r="122" customFormat="false" ht="15" hidden="false" customHeight="false" outlineLevel="0" collapsed="false">
      <c r="A122" s="6" t="str">
        <f aca="false">IF(C122="","",ROW()-5)</f>
        <v/>
      </c>
      <c r="B122" s="7"/>
      <c r="C122" s="8"/>
      <c r="D122" s="8"/>
      <c r="E122" s="8"/>
      <c r="F122" s="9"/>
      <c r="G122" s="10" t="str">
        <f aca="false">IF(E122="","",IFERROR(INDEX(Catálogo!$D$5:$D$34,MATCH(E122,Catálogo!$C$5:$C$34,0)),""))</f>
        <v/>
      </c>
      <c r="H122" s="10" t="str">
        <f aca="false">IF(OR(F122="",G122=""),"",F122*G122)</f>
        <v/>
      </c>
      <c r="I122" s="8"/>
      <c r="J122" s="7"/>
      <c r="K122" s="8"/>
      <c r="L122" s="8"/>
      <c r="M122" s="11"/>
      <c r="N122" s="10" t="str">
        <f aca="false">IF(H122="","",IF(K122="Cancelado",0,H122-M122))</f>
        <v/>
      </c>
      <c r="O122" s="10" t="str">
        <f aca="false">IF(OR(F122="",E122=""),"",IFERROR(IF(INDEX(Catálogo!$E$5:$E$34,MATCH(E122,Catálogo!$C$5:$C$34,0))=0,"",F122*INDEX(Catálogo!$E$5:$E$34,MATCH(E122,Catálogo!$C$5:$C$34,0))),""))</f>
        <v/>
      </c>
      <c r="P122" s="10" t="str">
        <f aca="false">IF(OR(H122="",O122=""),"",H122-O122)</f>
        <v/>
      </c>
      <c r="Q122" s="8"/>
      <c r="R122" s="6" t="str">
        <f aca="false">IF(J122="","",YEAR(J122))</f>
        <v/>
      </c>
      <c r="S122" s="6" t="str">
        <f aca="false">IF(J122="","",MONTH(J122))</f>
        <v/>
      </c>
    </row>
    <row r="123" customFormat="false" ht="15" hidden="false" customHeight="false" outlineLevel="0" collapsed="false">
      <c r="A123" s="6" t="str">
        <f aca="false">IF(C123="","",ROW()-5)</f>
        <v/>
      </c>
      <c r="B123" s="7"/>
      <c r="C123" s="8"/>
      <c r="D123" s="8"/>
      <c r="E123" s="8"/>
      <c r="F123" s="9"/>
      <c r="G123" s="10" t="str">
        <f aca="false">IF(E123="","",IFERROR(INDEX(Catálogo!$D$5:$D$34,MATCH(E123,Catálogo!$C$5:$C$34,0)),""))</f>
        <v/>
      </c>
      <c r="H123" s="10" t="str">
        <f aca="false">IF(OR(F123="",G123=""),"",F123*G123)</f>
        <v/>
      </c>
      <c r="I123" s="8"/>
      <c r="J123" s="7"/>
      <c r="K123" s="8"/>
      <c r="L123" s="8"/>
      <c r="M123" s="11"/>
      <c r="N123" s="10" t="str">
        <f aca="false">IF(H123="","",IF(K123="Cancelado",0,H123-M123))</f>
        <v/>
      </c>
      <c r="O123" s="10" t="str">
        <f aca="false">IF(OR(F123="",E123=""),"",IFERROR(IF(INDEX(Catálogo!$E$5:$E$34,MATCH(E123,Catálogo!$C$5:$C$34,0))=0,"",F123*INDEX(Catálogo!$E$5:$E$34,MATCH(E123,Catálogo!$C$5:$C$34,0))),""))</f>
        <v/>
      </c>
      <c r="P123" s="10" t="str">
        <f aca="false">IF(OR(H123="",O123=""),"",H123-O123)</f>
        <v/>
      </c>
      <c r="Q123" s="8"/>
      <c r="R123" s="6" t="str">
        <f aca="false">IF(J123="","",YEAR(J123))</f>
        <v/>
      </c>
      <c r="S123" s="6" t="str">
        <f aca="false">IF(J123="","",MONTH(J123))</f>
        <v/>
      </c>
    </row>
    <row r="124" customFormat="false" ht="15" hidden="false" customHeight="false" outlineLevel="0" collapsed="false">
      <c r="A124" s="6" t="str">
        <f aca="false">IF(C124="","",ROW()-5)</f>
        <v/>
      </c>
      <c r="B124" s="7"/>
      <c r="C124" s="8"/>
      <c r="D124" s="8"/>
      <c r="E124" s="8"/>
      <c r="F124" s="9"/>
      <c r="G124" s="10" t="str">
        <f aca="false">IF(E124="","",IFERROR(INDEX(Catálogo!$D$5:$D$34,MATCH(E124,Catálogo!$C$5:$C$34,0)),""))</f>
        <v/>
      </c>
      <c r="H124" s="10" t="str">
        <f aca="false">IF(OR(F124="",G124=""),"",F124*G124)</f>
        <v/>
      </c>
      <c r="I124" s="8"/>
      <c r="J124" s="7"/>
      <c r="K124" s="8"/>
      <c r="L124" s="8"/>
      <c r="M124" s="11"/>
      <c r="N124" s="10" t="str">
        <f aca="false">IF(H124="","",IF(K124="Cancelado",0,H124-M124))</f>
        <v/>
      </c>
      <c r="O124" s="10" t="str">
        <f aca="false">IF(OR(F124="",E124=""),"",IFERROR(IF(INDEX(Catálogo!$E$5:$E$34,MATCH(E124,Catálogo!$C$5:$C$34,0))=0,"",F124*INDEX(Catálogo!$E$5:$E$34,MATCH(E124,Catálogo!$C$5:$C$34,0))),""))</f>
        <v/>
      </c>
      <c r="P124" s="10" t="str">
        <f aca="false">IF(OR(H124="",O124=""),"",H124-O124)</f>
        <v/>
      </c>
      <c r="Q124" s="8"/>
      <c r="R124" s="6" t="str">
        <f aca="false">IF(J124="","",YEAR(J124))</f>
        <v/>
      </c>
      <c r="S124" s="6" t="str">
        <f aca="false">IF(J124="","",MONTH(J124))</f>
        <v/>
      </c>
    </row>
    <row r="125" customFormat="false" ht="15" hidden="false" customHeight="false" outlineLevel="0" collapsed="false">
      <c r="A125" s="6" t="str">
        <f aca="false">IF(C125="","",ROW()-5)</f>
        <v/>
      </c>
      <c r="B125" s="7"/>
      <c r="C125" s="8"/>
      <c r="D125" s="8"/>
      <c r="E125" s="8"/>
      <c r="F125" s="9"/>
      <c r="G125" s="10" t="str">
        <f aca="false">IF(E125="","",IFERROR(INDEX(Catálogo!$D$5:$D$34,MATCH(E125,Catálogo!$C$5:$C$34,0)),""))</f>
        <v/>
      </c>
      <c r="H125" s="10" t="str">
        <f aca="false">IF(OR(F125="",G125=""),"",F125*G125)</f>
        <v/>
      </c>
      <c r="I125" s="8"/>
      <c r="J125" s="7"/>
      <c r="K125" s="8"/>
      <c r="L125" s="8"/>
      <c r="M125" s="11"/>
      <c r="N125" s="10" t="str">
        <f aca="false">IF(H125="","",IF(K125="Cancelado",0,H125-M125))</f>
        <v/>
      </c>
      <c r="O125" s="10" t="str">
        <f aca="false">IF(OR(F125="",E125=""),"",IFERROR(IF(INDEX(Catálogo!$E$5:$E$34,MATCH(E125,Catálogo!$C$5:$C$34,0))=0,"",F125*INDEX(Catálogo!$E$5:$E$34,MATCH(E125,Catálogo!$C$5:$C$34,0))),""))</f>
        <v/>
      </c>
      <c r="P125" s="10" t="str">
        <f aca="false">IF(OR(H125="",O125=""),"",H125-O125)</f>
        <v/>
      </c>
      <c r="Q125" s="8"/>
      <c r="R125" s="6" t="str">
        <f aca="false">IF(J125="","",YEAR(J125))</f>
        <v/>
      </c>
      <c r="S125" s="6" t="str">
        <f aca="false">IF(J125="","",MONTH(J125))</f>
        <v/>
      </c>
    </row>
    <row r="126" customFormat="false" ht="15" hidden="false" customHeight="false" outlineLevel="0" collapsed="false">
      <c r="A126" s="6" t="str">
        <f aca="false">IF(C126="","",ROW()-5)</f>
        <v/>
      </c>
      <c r="B126" s="7"/>
      <c r="C126" s="8"/>
      <c r="D126" s="8"/>
      <c r="E126" s="8"/>
      <c r="F126" s="9"/>
      <c r="G126" s="10" t="str">
        <f aca="false">IF(E126="","",IFERROR(INDEX(Catálogo!$D$5:$D$34,MATCH(E126,Catálogo!$C$5:$C$34,0)),""))</f>
        <v/>
      </c>
      <c r="H126" s="10" t="str">
        <f aca="false">IF(OR(F126="",G126=""),"",F126*G126)</f>
        <v/>
      </c>
      <c r="I126" s="8"/>
      <c r="J126" s="7"/>
      <c r="K126" s="8"/>
      <c r="L126" s="8"/>
      <c r="M126" s="11"/>
      <c r="N126" s="10" t="str">
        <f aca="false">IF(H126="","",IF(K126="Cancelado",0,H126-M126))</f>
        <v/>
      </c>
      <c r="O126" s="10" t="str">
        <f aca="false">IF(OR(F126="",E126=""),"",IFERROR(IF(INDEX(Catálogo!$E$5:$E$34,MATCH(E126,Catálogo!$C$5:$C$34,0))=0,"",F126*INDEX(Catálogo!$E$5:$E$34,MATCH(E126,Catálogo!$C$5:$C$34,0))),""))</f>
        <v/>
      </c>
      <c r="P126" s="10" t="str">
        <f aca="false">IF(OR(H126="",O126=""),"",H126-O126)</f>
        <v/>
      </c>
      <c r="Q126" s="8"/>
      <c r="R126" s="6" t="str">
        <f aca="false">IF(J126="","",YEAR(J126))</f>
        <v/>
      </c>
      <c r="S126" s="6" t="str">
        <f aca="false">IF(J126="","",MONTH(J126))</f>
        <v/>
      </c>
    </row>
    <row r="127" customFormat="false" ht="15" hidden="false" customHeight="false" outlineLevel="0" collapsed="false">
      <c r="A127" s="6" t="str">
        <f aca="false">IF(C127="","",ROW()-5)</f>
        <v/>
      </c>
      <c r="B127" s="7"/>
      <c r="C127" s="8"/>
      <c r="D127" s="8"/>
      <c r="E127" s="8"/>
      <c r="F127" s="9"/>
      <c r="G127" s="10" t="str">
        <f aca="false">IF(E127="","",IFERROR(INDEX(Catálogo!$D$5:$D$34,MATCH(E127,Catálogo!$C$5:$C$34,0)),""))</f>
        <v/>
      </c>
      <c r="H127" s="10" t="str">
        <f aca="false">IF(OR(F127="",G127=""),"",F127*G127)</f>
        <v/>
      </c>
      <c r="I127" s="8"/>
      <c r="J127" s="7"/>
      <c r="K127" s="8"/>
      <c r="L127" s="8"/>
      <c r="M127" s="11"/>
      <c r="N127" s="10" t="str">
        <f aca="false">IF(H127="","",IF(K127="Cancelado",0,H127-M127))</f>
        <v/>
      </c>
      <c r="O127" s="10" t="str">
        <f aca="false">IF(OR(F127="",E127=""),"",IFERROR(IF(INDEX(Catálogo!$E$5:$E$34,MATCH(E127,Catálogo!$C$5:$C$34,0))=0,"",F127*INDEX(Catálogo!$E$5:$E$34,MATCH(E127,Catálogo!$C$5:$C$34,0))),""))</f>
        <v/>
      </c>
      <c r="P127" s="10" t="str">
        <f aca="false">IF(OR(H127="",O127=""),"",H127-O127)</f>
        <v/>
      </c>
      <c r="Q127" s="8"/>
      <c r="R127" s="6" t="str">
        <f aca="false">IF(J127="","",YEAR(J127))</f>
        <v/>
      </c>
      <c r="S127" s="6" t="str">
        <f aca="false">IF(J127="","",MONTH(J127))</f>
        <v/>
      </c>
    </row>
    <row r="128" customFormat="false" ht="15" hidden="false" customHeight="false" outlineLevel="0" collapsed="false">
      <c r="A128" s="6" t="str">
        <f aca="false">IF(C128="","",ROW()-5)</f>
        <v/>
      </c>
      <c r="B128" s="7"/>
      <c r="C128" s="8"/>
      <c r="D128" s="8"/>
      <c r="E128" s="8"/>
      <c r="F128" s="9"/>
      <c r="G128" s="10" t="str">
        <f aca="false">IF(E128="","",IFERROR(INDEX(Catálogo!$D$5:$D$34,MATCH(E128,Catálogo!$C$5:$C$34,0)),""))</f>
        <v/>
      </c>
      <c r="H128" s="10" t="str">
        <f aca="false">IF(OR(F128="",G128=""),"",F128*G128)</f>
        <v/>
      </c>
      <c r="I128" s="8"/>
      <c r="J128" s="7"/>
      <c r="K128" s="8"/>
      <c r="L128" s="8"/>
      <c r="M128" s="11"/>
      <c r="N128" s="10" t="str">
        <f aca="false">IF(H128="","",IF(K128="Cancelado",0,H128-M128))</f>
        <v/>
      </c>
      <c r="O128" s="10" t="str">
        <f aca="false">IF(OR(F128="",E128=""),"",IFERROR(IF(INDEX(Catálogo!$E$5:$E$34,MATCH(E128,Catálogo!$C$5:$C$34,0))=0,"",F128*INDEX(Catálogo!$E$5:$E$34,MATCH(E128,Catálogo!$C$5:$C$34,0))),""))</f>
        <v/>
      </c>
      <c r="P128" s="10" t="str">
        <f aca="false">IF(OR(H128="",O128=""),"",H128-O128)</f>
        <v/>
      </c>
      <c r="Q128" s="8"/>
      <c r="R128" s="6" t="str">
        <f aca="false">IF(J128="","",YEAR(J128))</f>
        <v/>
      </c>
      <c r="S128" s="6" t="str">
        <f aca="false">IF(J128="","",MONTH(J128))</f>
        <v/>
      </c>
    </row>
    <row r="129" customFormat="false" ht="15" hidden="false" customHeight="false" outlineLevel="0" collapsed="false">
      <c r="A129" s="6" t="str">
        <f aca="false">IF(C129="","",ROW()-5)</f>
        <v/>
      </c>
      <c r="B129" s="7"/>
      <c r="C129" s="8"/>
      <c r="D129" s="8"/>
      <c r="E129" s="8"/>
      <c r="F129" s="9"/>
      <c r="G129" s="10" t="str">
        <f aca="false">IF(E129="","",IFERROR(INDEX(Catálogo!$D$5:$D$34,MATCH(E129,Catálogo!$C$5:$C$34,0)),""))</f>
        <v/>
      </c>
      <c r="H129" s="10" t="str">
        <f aca="false">IF(OR(F129="",G129=""),"",F129*G129)</f>
        <v/>
      </c>
      <c r="I129" s="8"/>
      <c r="J129" s="7"/>
      <c r="K129" s="8"/>
      <c r="L129" s="8"/>
      <c r="M129" s="11"/>
      <c r="N129" s="10" t="str">
        <f aca="false">IF(H129="","",IF(K129="Cancelado",0,H129-M129))</f>
        <v/>
      </c>
      <c r="O129" s="10" t="str">
        <f aca="false">IF(OR(F129="",E129=""),"",IFERROR(IF(INDEX(Catálogo!$E$5:$E$34,MATCH(E129,Catálogo!$C$5:$C$34,0))=0,"",F129*INDEX(Catálogo!$E$5:$E$34,MATCH(E129,Catálogo!$C$5:$C$34,0))),""))</f>
        <v/>
      </c>
      <c r="P129" s="10" t="str">
        <f aca="false">IF(OR(H129="",O129=""),"",H129-O129)</f>
        <v/>
      </c>
      <c r="Q129" s="8"/>
      <c r="R129" s="6" t="str">
        <f aca="false">IF(J129="","",YEAR(J129))</f>
        <v/>
      </c>
      <c r="S129" s="6" t="str">
        <f aca="false">IF(J129="","",MONTH(J129))</f>
        <v/>
      </c>
    </row>
    <row r="130" customFormat="false" ht="15" hidden="false" customHeight="false" outlineLevel="0" collapsed="false">
      <c r="A130" s="6" t="str">
        <f aca="false">IF(C130="","",ROW()-5)</f>
        <v/>
      </c>
      <c r="B130" s="7"/>
      <c r="C130" s="8"/>
      <c r="D130" s="8"/>
      <c r="E130" s="8"/>
      <c r="F130" s="9"/>
      <c r="G130" s="10" t="str">
        <f aca="false">IF(E130="","",IFERROR(INDEX(Catálogo!$D$5:$D$34,MATCH(E130,Catálogo!$C$5:$C$34,0)),""))</f>
        <v/>
      </c>
      <c r="H130" s="10" t="str">
        <f aca="false">IF(OR(F130="",G130=""),"",F130*G130)</f>
        <v/>
      </c>
      <c r="I130" s="8"/>
      <c r="J130" s="7"/>
      <c r="K130" s="8"/>
      <c r="L130" s="8"/>
      <c r="M130" s="11"/>
      <c r="N130" s="10" t="str">
        <f aca="false">IF(H130="","",IF(K130="Cancelado",0,H130-M130))</f>
        <v/>
      </c>
      <c r="O130" s="10" t="str">
        <f aca="false">IF(OR(F130="",E130=""),"",IFERROR(IF(INDEX(Catálogo!$E$5:$E$34,MATCH(E130,Catálogo!$C$5:$C$34,0))=0,"",F130*INDEX(Catálogo!$E$5:$E$34,MATCH(E130,Catálogo!$C$5:$C$34,0))),""))</f>
        <v/>
      </c>
      <c r="P130" s="10" t="str">
        <f aca="false">IF(OR(H130="",O130=""),"",H130-O130)</f>
        <v/>
      </c>
      <c r="Q130" s="8"/>
      <c r="R130" s="6" t="str">
        <f aca="false">IF(J130="","",YEAR(J130))</f>
        <v/>
      </c>
      <c r="S130" s="6" t="str">
        <f aca="false">IF(J130="","",MONTH(J130))</f>
        <v/>
      </c>
    </row>
    <row r="131" customFormat="false" ht="15" hidden="false" customHeight="false" outlineLevel="0" collapsed="false">
      <c r="A131" s="6" t="str">
        <f aca="false">IF(C131="","",ROW()-5)</f>
        <v/>
      </c>
      <c r="B131" s="7"/>
      <c r="C131" s="8"/>
      <c r="D131" s="8"/>
      <c r="E131" s="8"/>
      <c r="F131" s="9"/>
      <c r="G131" s="10" t="str">
        <f aca="false">IF(E131="","",IFERROR(INDEX(Catálogo!$D$5:$D$34,MATCH(E131,Catálogo!$C$5:$C$34,0)),""))</f>
        <v/>
      </c>
      <c r="H131" s="10" t="str">
        <f aca="false">IF(OR(F131="",G131=""),"",F131*G131)</f>
        <v/>
      </c>
      <c r="I131" s="8"/>
      <c r="J131" s="7"/>
      <c r="K131" s="8"/>
      <c r="L131" s="8"/>
      <c r="M131" s="11"/>
      <c r="N131" s="10" t="str">
        <f aca="false">IF(H131="","",IF(K131="Cancelado",0,H131-M131))</f>
        <v/>
      </c>
      <c r="O131" s="10" t="str">
        <f aca="false">IF(OR(F131="",E131=""),"",IFERROR(IF(INDEX(Catálogo!$E$5:$E$34,MATCH(E131,Catálogo!$C$5:$C$34,0))=0,"",F131*INDEX(Catálogo!$E$5:$E$34,MATCH(E131,Catálogo!$C$5:$C$34,0))),""))</f>
        <v/>
      </c>
      <c r="P131" s="10" t="str">
        <f aca="false">IF(OR(H131="",O131=""),"",H131-O131)</f>
        <v/>
      </c>
      <c r="Q131" s="8"/>
      <c r="R131" s="6" t="str">
        <f aca="false">IF(J131="","",YEAR(J131))</f>
        <v/>
      </c>
      <c r="S131" s="6" t="str">
        <f aca="false">IF(J131="","",MONTH(J131))</f>
        <v/>
      </c>
    </row>
    <row r="132" customFormat="false" ht="15" hidden="false" customHeight="false" outlineLevel="0" collapsed="false">
      <c r="A132" s="6" t="str">
        <f aca="false">IF(C132="","",ROW()-5)</f>
        <v/>
      </c>
      <c r="B132" s="7"/>
      <c r="C132" s="8"/>
      <c r="D132" s="8"/>
      <c r="E132" s="8"/>
      <c r="F132" s="9"/>
      <c r="G132" s="10" t="str">
        <f aca="false">IF(E132="","",IFERROR(INDEX(Catálogo!$D$5:$D$34,MATCH(E132,Catálogo!$C$5:$C$34,0)),""))</f>
        <v/>
      </c>
      <c r="H132" s="10" t="str">
        <f aca="false">IF(OR(F132="",G132=""),"",F132*G132)</f>
        <v/>
      </c>
      <c r="I132" s="8"/>
      <c r="J132" s="7"/>
      <c r="K132" s="8"/>
      <c r="L132" s="8"/>
      <c r="M132" s="11"/>
      <c r="N132" s="10" t="str">
        <f aca="false">IF(H132="","",IF(K132="Cancelado",0,H132-M132))</f>
        <v/>
      </c>
      <c r="O132" s="10" t="str">
        <f aca="false">IF(OR(F132="",E132=""),"",IFERROR(IF(INDEX(Catálogo!$E$5:$E$34,MATCH(E132,Catálogo!$C$5:$C$34,0))=0,"",F132*INDEX(Catálogo!$E$5:$E$34,MATCH(E132,Catálogo!$C$5:$C$34,0))),""))</f>
        <v/>
      </c>
      <c r="P132" s="10" t="str">
        <f aca="false">IF(OR(H132="",O132=""),"",H132-O132)</f>
        <v/>
      </c>
      <c r="Q132" s="8"/>
      <c r="R132" s="6" t="str">
        <f aca="false">IF(J132="","",YEAR(J132))</f>
        <v/>
      </c>
      <c r="S132" s="6" t="str">
        <f aca="false">IF(J132="","",MONTH(J132))</f>
        <v/>
      </c>
    </row>
    <row r="133" customFormat="false" ht="15" hidden="false" customHeight="false" outlineLevel="0" collapsed="false">
      <c r="A133" s="6" t="str">
        <f aca="false">IF(C133="","",ROW()-5)</f>
        <v/>
      </c>
      <c r="B133" s="7"/>
      <c r="C133" s="8"/>
      <c r="D133" s="8"/>
      <c r="E133" s="8"/>
      <c r="F133" s="9"/>
      <c r="G133" s="10" t="str">
        <f aca="false">IF(E133="","",IFERROR(INDEX(Catálogo!$D$5:$D$34,MATCH(E133,Catálogo!$C$5:$C$34,0)),""))</f>
        <v/>
      </c>
      <c r="H133" s="10" t="str">
        <f aca="false">IF(OR(F133="",G133=""),"",F133*G133)</f>
        <v/>
      </c>
      <c r="I133" s="8"/>
      <c r="J133" s="7"/>
      <c r="K133" s="8"/>
      <c r="L133" s="8"/>
      <c r="M133" s="11"/>
      <c r="N133" s="10" t="str">
        <f aca="false">IF(H133="","",IF(K133="Cancelado",0,H133-M133))</f>
        <v/>
      </c>
      <c r="O133" s="10" t="str">
        <f aca="false">IF(OR(F133="",E133=""),"",IFERROR(IF(INDEX(Catálogo!$E$5:$E$34,MATCH(E133,Catálogo!$C$5:$C$34,0))=0,"",F133*INDEX(Catálogo!$E$5:$E$34,MATCH(E133,Catálogo!$C$5:$C$34,0))),""))</f>
        <v/>
      </c>
      <c r="P133" s="10" t="str">
        <f aca="false">IF(OR(H133="",O133=""),"",H133-O133)</f>
        <v/>
      </c>
      <c r="Q133" s="8"/>
      <c r="R133" s="6" t="str">
        <f aca="false">IF(J133="","",YEAR(J133))</f>
        <v/>
      </c>
      <c r="S133" s="6" t="str">
        <f aca="false">IF(J133="","",MONTH(J133))</f>
        <v/>
      </c>
    </row>
    <row r="134" customFormat="false" ht="15" hidden="false" customHeight="false" outlineLevel="0" collapsed="false">
      <c r="A134" s="6" t="str">
        <f aca="false">IF(C134="","",ROW()-5)</f>
        <v/>
      </c>
      <c r="B134" s="7"/>
      <c r="C134" s="8"/>
      <c r="D134" s="8"/>
      <c r="E134" s="8"/>
      <c r="F134" s="9"/>
      <c r="G134" s="10" t="str">
        <f aca="false">IF(E134="","",IFERROR(INDEX(Catálogo!$D$5:$D$34,MATCH(E134,Catálogo!$C$5:$C$34,0)),""))</f>
        <v/>
      </c>
      <c r="H134" s="10" t="str">
        <f aca="false">IF(OR(F134="",G134=""),"",F134*G134)</f>
        <v/>
      </c>
      <c r="I134" s="8"/>
      <c r="J134" s="7"/>
      <c r="K134" s="8"/>
      <c r="L134" s="8"/>
      <c r="M134" s="11"/>
      <c r="N134" s="10" t="str">
        <f aca="false">IF(H134="","",IF(K134="Cancelado",0,H134-M134))</f>
        <v/>
      </c>
      <c r="O134" s="10" t="str">
        <f aca="false">IF(OR(F134="",E134=""),"",IFERROR(IF(INDEX(Catálogo!$E$5:$E$34,MATCH(E134,Catálogo!$C$5:$C$34,0))=0,"",F134*INDEX(Catálogo!$E$5:$E$34,MATCH(E134,Catálogo!$C$5:$C$34,0))),""))</f>
        <v/>
      </c>
      <c r="P134" s="10" t="str">
        <f aca="false">IF(OR(H134="",O134=""),"",H134-O134)</f>
        <v/>
      </c>
      <c r="Q134" s="8"/>
      <c r="R134" s="6" t="str">
        <f aca="false">IF(J134="","",YEAR(J134))</f>
        <v/>
      </c>
      <c r="S134" s="6" t="str">
        <f aca="false">IF(J134="","",MONTH(J134))</f>
        <v/>
      </c>
    </row>
    <row r="135" customFormat="false" ht="15" hidden="false" customHeight="false" outlineLevel="0" collapsed="false">
      <c r="A135" s="6" t="str">
        <f aca="false">IF(C135="","",ROW()-5)</f>
        <v/>
      </c>
      <c r="B135" s="7"/>
      <c r="C135" s="8"/>
      <c r="D135" s="8"/>
      <c r="E135" s="8"/>
      <c r="F135" s="9"/>
      <c r="G135" s="10" t="str">
        <f aca="false">IF(E135="","",IFERROR(INDEX(Catálogo!$D$5:$D$34,MATCH(E135,Catálogo!$C$5:$C$34,0)),""))</f>
        <v/>
      </c>
      <c r="H135" s="10" t="str">
        <f aca="false">IF(OR(F135="",G135=""),"",F135*G135)</f>
        <v/>
      </c>
      <c r="I135" s="8"/>
      <c r="J135" s="7"/>
      <c r="K135" s="8"/>
      <c r="L135" s="8"/>
      <c r="M135" s="11"/>
      <c r="N135" s="10" t="str">
        <f aca="false">IF(H135="","",IF(K135="Cancelado",0,H135-M135))</f>
        <v/>
      </c>
      <c r="O135" s="10" t="str">
        <f aca="false">IF(OR(F135="",E135=""),"",IFERROR(IF(INDEX(Catálogo!$E$5:$E$34,MATCH(E135,Catálogo!$C$5:$C$34,0))=0,"",F135*INDEX(Catálogo!$E$5:$E$34,MATCH(E135,Catálogo!$C$5:$C$34,0))),""))</f>
        <v/>
      </c>
      <c r="P135" s="10" t="str">
        <f aca="false">IF(OR(H135="",O135=""),"",H135-O135)</f>
        <v/>
      </c>
      <c r="Q135" s="8"/>
      <c r="R135" s="6" t="str">
        <f aca="false">IF(J135="","",YEAR(J135))</f>
        <v/>
      </c>
      <c r="S135" s="6" t="str">
        <f aca="false">IF(J135="","",MONTH(J135))</f>
        <v/>
      </c>
    </row>
    <row r="136" customFormat="false" ht="15" hidden="false" customHeight="false" outlineLevel="0" collapsed="false">
      <c r="A136" s="6" t="str">
        <f aca="false">IF(C136="","",ROW()-5)</f>
        <v/>
      </c>
      <c r="B136" s="7"/>
      <c r="C136" s="8"/>
      <c r="D136" s="8"/>
      <c r="E136" s="8"/>
      <c r="F136" s="9"/>
      <c r="G136" s="10" t="str">
        <f aca="false">IF(E136="","",IFERROR(INDEX(Catálogo!$D$5:$D$34,MATCH(E136,Catálogo!$C$5:$C$34,0)),""))</f>
        <v/>
      </c>
      <c r="H136" s="10" t="str">
        <f aca="false">IF(OR(F136="",G136=""),"",F136*G136)</f>
        <v/>
      </c>
      <c r="I136" s="8"/>
      <c r="J136" s="7"/>
      <c r="K136" s="8"/>
      <c r="L136" s="8"/>
      <c r="M136" s="11"/>
      <c r="N136" s="10" t="str">
        <f aca="false">IF(H136="","",IF(K136="Cancelado",0,H136-M136))</f>
        <v/>
      </c>
      <c r="O136" s="10" t="str">
        <f aca="false">IF(OR(F136="",E136=""),"",IFERROR(IF(INDEX(Catálogo!$E$5:$E$34,MATCH(E136,Catálogo!$C$5:$C$34,0))=0,"",F136*INDEX(Catálogo!$E$5:$E$34,MATCH(E136,Catálogo!$C$5:$C$34,0))),""))</f>
        <v/>
      </c>
      <c r="P136" s="10" t="str">
        <f aca="false">IF(OR(H136="",O136=""),"",H136-O136)</f>
        <v/>
      </c>
      <c r="Q136" s="8"/>
      <c r="R136" s="6" t="str">
        <f aca="false">IF(J136="","",YEAR(J136))</f>
        <v/>
      </c>
      <c r="S136" s="6" t="str">
        <f aca="false">IF(J136="","",MONTH(J136))</f>
        <v/>
      </c>
    </row>
    <row r="137" customFormat="false" ht="15" hidden="false" customHeight="false" outlineLevel="0" collapsed="false">
      <c r="A137" s="6" t="str">
        <f aca="false">IF(C137="","",ROW()-5)</f>
        <v/>
      </c>
      <c r="B137" s="7"/>
      <c r="C137" s="8"/>
      <c r="D137" s="8"/>
      <c r="E137" s="8"/>
      <c r="F137" s="9"/>
      <c r="G137" s="10" t="str">
        <f aca="false">IF(E137="","",IFERROR(INDEX(Catálogo!$D$5:$D$34,MATCH(E137,Catálogo!$C$5:$C$34,0)),""))</f>
        <v/>
      </c>
      <c r="H137" s="10" t="str">
        <f aca="false">IF(OR(F137="",G137=""),"",F137*G137)</f>
        <v/>
      </c>
      <c r="I137" s="8"/>
      <c r="J137" s="7"/>
      <c r="K137" s="8"/>
      <c r="L137" s="8"/>
      <c r="M137" s="11"/>
      <c r="N137" s="10" t="str">
        <f aca="false">IF(H137="","",IF(K137="Cancelado",0,H137-M137))</f>
        <v/>
      </c>
      <c r="O137" s="10" t="str">
        <f aca="false">IF(OR(F137="",E137=""),"",IFERROR(IF(INDEX(Catálogo!$E$5:$E$34,MATCH(E137,Catálogo!$C$5:$C$34,0))=0,"",F137*INDEX(Catálogo!$E$5:$E$34,MATCH(E137,Catálogo!$C$5:$C$34,0))),""))</f>
        <v/>
      </c>
      <c r="P137" s="10" t="str">
        <f aca="false">IF(OR(H137="",O137=""),"",H137-O137)</f>
        <v/>
      </c>
      <c r="Q137" s="8"/>
      <c r="R137" s="6" t="str">
        <f aca="false">IF(J137="","",YEAR(J137))</f>
        <v/>
      </c>
      <c r="S137" s="6" t="str">
        <f aca="false">IF(J137="","",MONTH(J137))</f>
        <v/>
      </c>
    </row>
    <row r="138" customFormat="false" ht="15" hidden="false" customHeight="false" outlineLevel="0" collapsed="false">
      <c r="A138" s="6" t="str">
        <f aca="false">IF(C138="","",ROW()-5)</f>
        <v/>
      </c>
      <c r="B138" s="7"/>
      <c r="C138" s="8"/>
      <c r="D138" s="8"/>
      <c r="E138" s="8"/>
      <c r="F138" s="9"/>
      <c r="G138" s="10" t="str">
        <f aca="false">IF(E138="","",IFERROR(INDEX(Catálogo!$D$5:$D$34,MATCH(E138,Catálogo!$C$5:$C$34,0)),""))</f>
        <v/>
      </c>
      <c r="H138" s="10" t="str">
        <f aca="false">IF(OR(F138="",G138=""),"",F138*G138)</f>
        <v/>
      </c>
      <c r="I138" s="8"/>
      <c r="J138" s="7"/>
      <c r="K138" s="8"/>
      <c r="L138" s="8"/>
      <c r="M138" s="11"/>
      <c r="N138" s="10" t="str">
        <f aca="false">IF(H138="","",IF(K138="Cancelado",0,H138-M138))</f>
        <v/>
      </c>
      <c r="O138" s="10" t="str">
        <f aca="false">IF(OR(F138="",E138=""),"",IFERROR(IF(INDEX(Catálogo!$E$5:$E$34,MATCH(E138,Catálogo!$C$5:$C$34,0))=0,"",F138*INDEX(Catálogo!$E$5:$E$34,MATCH(E138,Catálogo!$C$5:$C$34,0))),""))</f>
        <v/>
      </c>
      <c r="P138" s="10" t="str">
        <f aca="false">IF(OR(H138="",O138=""),"",H138-O138)</f>
        <v/>
      </c>
      <c r="Q138" s="8"/>
      <c r="R138" s="6" t="str">
        <f aca="false">IF(J138="","",YEAR(J138))</f>
        <v/>
      </c>
      <c r="S138" s="6" t="str">
        <f aca="false">IF(J138="","",MONTH(J138))</f>
        <v/>
      </c>
    </row>
    <row r="139" customFormat="false" ht="15" hidden="false" customHeight="false" outlineLevel="0" collapsed="false">
      <c r="A139" s="6" t="str">
        <f aca="false">IF(C139="","",ROW()-5)</f>
        <v/>
      </c>
      <c r="B139" s="7"/>
      <c r="C139" s="8"/>
      <c r="D139" s="8"/>
      <c r="E139" s="8"/>
      <c r="F139" s="9"/>
      <c r="G139" s="10" t="str">
        <f aca="false">IF(E139="","",IFERROR(INDEX(Catálogo!$D$5:$D$34,MATCH(E139,Catálogo!$C$5:$C$34,0)),""))</f>
        <v/>
      </c>
      <c r="H139" s="10" t="str">
        <f aca="false">IF(OR(F139="",G139=""),"",F139*G139)</f>
        <v/>
      </c>
      <c r="I139" s="8"/>
      <c r="J139" s="7"/>
      <c r="K139" s="8"/>
      <c r="L139" s="8"/>
      <c r="M139" s="11"/>
      <c r="N139" s="10" t="str">
        <f aca="false">IF(H139="","",IF(K139="Cancelado",0,H139-M139))</f>
        <v/>
      </c>
      <c r="O139" s="10" t="str">
        <f aca="false">IF(OR(F139="",E139=""),"",IFERROR(IF(INDEX(Catálogo!$E$5:$E$34,MATCH(E139,Catálogo!$C$5:$C$34,0))=0,"",F139*INDEX(Catálogo!$E$5:$E$34,MATCH(E139,Catálogo!$C$5:$C$34,0))),""))</f>
        <v/>
      </c>
      <c r="P139" s="10" t="str">
        <f aca="false">IF(OR(H139="",O139=""),"",H139-O139)</f>
        <v/>
      </c>
      <c r="Q139" s="8"/>
      <c r="R139" s="6" t="str">
        <f aca="false">IF(J139="","",YEAR(J139))</f>
        <v/>
      </c>
      <c r="S139" s="6" t="str">
        <f aca="false">IF(J139="","",MONTH(J139))</f>
        <v/>
      </c>
    </row>
    <row r="140" customFormat="false" ht="15" hidden="false" customHeight="false" outlineLevel="0" collapsed="false">
      <c r="A140" s="6" t="str">
        <f aca="false">IF(C140="","",ROW()-5)</f>
        <v/>
      </c>
      <c r="B140" s="7"/>
      <c r="C140" s="8"/>
      <c r="D140" s="8"/>
      <c r="E140" s="8"/>
      <c r="F140" s="9"/>
      <c r="G140" s="10" t="str">
        <f aca="false">IF(E140="","",IFERROR(INDEX(Catálogo!$D$5:$D$34,MATCH(E140,Catálogo!$C$5:$C$34,0)),""))</f>
        <v/>
      </c>
      <c r="H140" s="10" t="str">
        <f aca="false">IF(OR(F140="",G140=""),"",F140*G140)</f>
        <v/>
      </c>
      <c r="I140" s="8"/>
      <c r="J140" s="7"/>
      <c r="K140" s="8"/>
      <c r="L140" s="8"/>
      <c r="M140" s="11"/>
      <c r="N140" s="10" t="str">
        <f aca="false">IF(H140="","",IF(K140="Cancelado",0,H140-M140))</f>
        <v/>
      </c>
      <c r="O140" s="10" t="str">
        <f aca="false">IF(OR(F140="",E140=""),"",IFERROR(IF(INDEX(Catálogo!$E$5:$E$34,MATCH(E140,Catálogo!$C$5:$C$34,0))=0,"",F140*INDEX(Catálogo!$E$5:$E$34,MATCH(E140,Catálogo!$C$5:$C$34,0))),""))</f>
        <v/>
      </c>
      <c r="P140" s="10" t="str">
        <f aca="false">IF(OR(H140="",O140=""),"",H140-O140)</f>
        <v/>
      </c>
      <c r="Q140" s="8"/>
      <c r="R140" s="6" t="str">
        <f aca="false">IF(J140="","",YEAR(J140))</f>
        <v/>
      </c>
      <c r="S140" s="6" t="str">
        <f aca="false">IF(J140="","",MONTH(J140))</f>
        <v/>
      </c>
    </row>
    <row r="141" customFormat="false" ht="15" hidden="false" customHeight="false" outlineLevel="0" collapsed="false">
      <c r="A141" s="6" t="str">
        <f aca="false">IF(C141="","",ROW()-5)</f>
        <v/>
      </c>
      <c r="B141" s="7"/>
      <c r="C141" s="8"/>
      <c r="D141" s="8"/>
      <c r="E141" s="8"/>
      <c r="F141" s="9"/>
      <c r="G141" s="10" t="str">
        <f aca="false">IF(E141="","",IFERROR(INDEX(Catálogo!$D$5:$D$34,MATCH(E141,Catálogo!$C$5:$C$34,0)),""))</f>
        <v/>
      </c>
      <c r="H141" s="10" t="str">
        <f aca="false">IF(OR(F141="",G141=""),"",F141*G141)</f>
        <v/>
      </c>
      <c r="I141" s="8"/>
      <c r="J141" s="7"/>
      <c r="K141" s="8"/>
      <c r="L141" s="8"/>
      <c r="M141" s="11"/>
      <c r="N141" s="10" t="str">
        <f aca="false">IF(H141="","",IF(K141="Cancelado",0,H141-M141))</f>
        <v/>
      </c>
      <c r="O141" s="10" t="str">
        <f aca="false">IF(OR(F141="",E141=""),"",IFERROR(IF(INDEX(Catálogo!$E$5:$E$34,MATCH(E141,Catálogo!$C$5:$C$34,0))=0,"",F141*INDEX(Catálogo!$E$5:$E$34,MATCH(E141,Catálogo!$C$5:$C$34,0))),""))</f>
        <v/>
      </c>
      <c r="P141" s="10" t="str">
        <f aca="false">IF(OR(H141="",O141=""),"",H141-O141)</f>
        <v/>
      </c>
      <c r="Q141" s="8"/>
      <c r="R141" s="6" t="str">
        <f aca="false">IF(J141="","",YEAR(J141))</f>
        <v/>
      </c>
      <c r="S141" s="6" t="str">
        <f aca="false">IF(J141="","",MONTH(J141))</f>
        <v/>
      </c>
    </row>
    <row r="142" customFormat="false" ht="15" hidden="false" customHeight="false" outlineLevel="0" collapsed="false">
      <c r="A142" s="6" t="str">
        <f aca="false">IF(C142="","",ROW()-5)</f>
        <v/>
      </c>
      <c r="B142" s="7"/>
      <c r="C142" s="8"/>
      <c r="D142" s="8"/>
      <c r="E142" s="8"/>
      <c r="F142" s="9"/>
      <c r="G142" s="10" t="str">
        <f aca="false">IF(E142="","",IFERROR(INDEX(Catálogo!$D$5:$D$34,MATCH(E142,Catálogo!$C$5:$C$34,0)),""))</f>
        <v/>
      </c>
      <c r="H142" s="10" t="str">
        <f aca="false">IF(OR(F142="",G142=""),"",F142*G142)</f>
        <v/>
      </c>
      <c r="I142" s="8"/>
      <c r="J142" s="7"/>
      <c r="K142" s="8"/>
      <c r="L142" s="8"/>
      <c r="M142" s="11"/>
      <c r="N142" s="10" t="str">
        <f aca="false">IF(H142="","",IF(K142="Cancelado",0,H142-M142))</f>
        <v/>
      </c>
      <c r="O142" s="10" t="str">
        <f aca="false">IF(OR(F142="",E142=""),"",IFERROR(IF(INDEX(Catálogo!$E$5:$E$34,MATCH(E142,Catálogo!$C$5:$C$34,0))=0,"",F142*INDEX(Catálogo!$E$5:$E$34,MATCH(E142,Catálogo!$C$5:$C$34,0))),""))</f>
        <v/>
      </c>
      <c r="P142" s="10" t="str">
        <f aca="false">IF(OR(H142="",O142=""),"",H142-O142)</f>
        <v/>
      </c>
      <c r="Q142" s="8"/>
      <c r="R142" s="6" t="str">
        <f aca="false">IF(J142="","",YEAR(J142))</f>
        <v/>
      </c>
      <c r="S142" s="6" t="str">
        <f aca="false">IF(J142="","",MONTH(J142))</f>
        <v/>
      </c>
    </row>
    <row r="143" customFormat="false" ht="15" hidden="false" customHeight="false" outlineLevel="0" collapsed="false">
      <c r="A143" s="6" t="str">
        <f aca="false">IF(C143="","",ROW()-5)</f>
        <v/>
      </c>
      <c r="B143" s="7"/>
      <c r="C143" s="8"/>
      <c r="D143" s="8"/>
      <c r="E143" s="8"/>
      <c r="F143" s="9"/>
      <c r="G143" s="10" t="str">
        <f aca="false">IF(E143="","",IFERROR(INDEX(Catálogo!$D$5:$D$34,MATCH(E143,Catálogo!$C$5:$C$34,0)),""))</f>
        <v/>
      </c>
      <c r="H143" s="10" t="str">
        <f aca="false">IF(OR(F143="",G143=""),"",F143*G143)</f>
        <v/>
      </c>
      <c r="I143" s="8"/>
      <c r="J143" s="7"/>
      <c r="K143" s="8"/>
      <c r="L143" s="8"/>
      <c r="M143" s="11"/>
      <c r="N143" s="10" t="str">
        <f aca="false">IF(H143="","",IF(K143="Cancelado",0,H143-M143))</f>
        <v/>
      </c>
      <c r="O143" s="10" t="str">
        <f aca="false">IF(OR(F143="",E143=""),"",IFERROR(IF(INDEX(Catálogo!$E$5:$E$34,MATCH(E143,Catálogo!$C$5:$C$34,0))=0,"",F143*INDEX(Catálogo!$E$5:$E$34,MATCH(E143,Catálogo!$C$5:$C$34,0))),""))</f>
        <v/>
      </c>
      <c r="P143" s="10" t="str">
        <f aca="false">IF(OR(H143="",O143=""),"",H143-O143)</f>
        <v/>
      </c>
      <c r="Q143" s="8"/>
      <c r="R143" s="6" t="str">
        <f aca="false">IF(J143="","",YEAR(J143))</f>
        <v/>
      </c>
      <c r="S143" s="6" t="str">
        <f aca="false">IF(J143="","",MONTH(J143))</f>
        <v/>
      </c>
    </row>
    <row r="144" customFormat="false" ht="15" hidden="false" customHeight="false" outlineLevel="0" collapsed="false">
      <c r="A144" s="6" t="str">
        <f aca="false">IF(C144="","",ROW()-5)</f>
        <v/>
      </c>
      <c r="B144" s="7"/>
      <c r="C144" s="8"/>
      <c r="D144" s="8"/>
      <c r="E144" s="8"/>
      <c r="F144" s="9"/>
      <c r="G144" s="10" t="str">
        <f aca="false">IF(E144="","",IFERROR(INDEX(Catálogo!$D$5:$D$34,MATCH(E144,Catálogo!$C$5:$C$34,0)),""))</f>
        <v/>
      </c>
      <c r="H144" s="10" t="str">
        <f aca="false">IF(OR(F144="",G144=""),"",F144*G144)</f>
        <v/>
      </c>
      <c r="I144" s="8"/>
      <c r="J144" s="7"/>
      <c r="K144" s="8"/>
      <c r="L144" s="8"/>
      <c r="M144" s="11"/>
      <c r="N144" s="10" t="str">
        <f aca="false">IF(H144="","",IF(K144="Cancelado",0,H144-M144))</f>
        <v/>
      </c>
      <c r="O144" s="10" t="str">
        <f aca="false">IF(OR(F144="",E144=""),"",IFERROR(IF(INDEX(Catálogo!$E$5:$E$34,MATCH(E144,Catálogo!$C$5:$C$34,0))=0,"",F144*INDEX(Catálogo!$E$5:$E$34,MATCH(E144,Catálogo!$C$5:$C$34,0))),""))</f>
        <v/>
      </c>
      <c r="P144" s="10" t="str">
        <f aca="false">IF(OR(H144="",O144=""),"",H144-O144)</f>
        <v/>
      </c>
      <c r="Q144" s="8"/>
      <c r="R144" s="6" t="str">
        <f aca="false">IF(J144="","",YEAR(J144))</f>
        <v/>
      </c>
      <c r="S144" s="6" t="str">
        <f aca="false">IF(J144="","",MONTH(J144))</f>
        <v/>
      </c>
    </row>
    <row r="145" customFormat="false" ht="15" hidden="false" customHeight="false" outlineLevel="0" collapsed="false">
      <c r="A145" s="6" t="str">
        <f aca="false">IF(C145="","",ROW()-5)</f>
        <v/>
      </c>
      <c r="B145" s="7"/>
      <c r="C145" s="8"/>
      <c r="D145" s="8"/>
      <c r="E145" s="8"/>
      <c r="F145" s="9"/>
      <c r="G145" s="10" t="str">
        <f aca="false">IF(E145="","",IFERROR(INDEX(Catálogo!$D$5:$D$34,MATCH(E145,Catálogo!$C$5:$C$34,0)),""))</f>
        <v/>
      </c>
      <c r="H145" s="10" t="str">
        <f aca="false">IF(OR(F145="",G145=""),"",F145*G145)</f>
        <v/>
      </c>
      <c r="I145" s="8"/>
      <c r="J145" s="7"/>
      <c r="K145" s="8"/>
      <c r="L145" s="8"/>
      <c r="M145" s="11"/>
      <c r="N145" s="10" t="str">
        <f aca="false">IF(H145="","",IF(K145="Cancelado",0,H145-M145))</f>
        <v/>
      </c>
      <c r="O145" s="10" t="str">
        <f aca="false">IF(OR(F145="",E145=""),"",IFERROR(IF(INDEX(Catálogo!$E$5:$E$34,MATCH(E145,Catálogo!$C$5:$C$34,0))=0,"",F145*INDEX(Catálogo!$E$5:$E$34,MATCH(E145,Catálogo!$C$5:$C$34,0))),""))</f>
        <v/>
      </c>
      <c r="P145" s="10" t="str">
        <f aca="false">IF(OR(H145="",O145=""),"",H145-O145)</f>
        <v/>
      </c>
      <c r="Q145" s="8"/>
      <c r="R145" s="6" t="str">
        <f aca="false">IF(J145="","",YEAR(J145))</f>
        <v/>
      </c>
      <c r="S145" s="6" t="str">
        <f aca="false">IF(J145="","",MONTH(J145))</f>
        <v/>
      </c>
    </row>
    <row r="146" customFormat="false" ht="15" hidden="false" customHeight="false" outlineLevel="0" collapsed="false">
      <c r="A146" s="6" t="str">
        <f aca="false">IF(C146="","",ROW()-5)</f>
        <v/>
      </c>
      <c r="B146" s="7"/>
      <c r="C146" s="8"/>
      <c r="D146" s="8"/>
      <c r="E146" s="8"/>
      <c r="F146" s="9"/>
      <c r="G146" s="10" t="str">
        <f aca="false">IF(E146="","",IFERROR(INDEX(Catálogo!$D$5:$D$34,MATCH(E146,Catálogo!$C$5:$C$34,0)),""))</f>
        <v/>
      </c>
      <c r="H146" s="10" t="str">
        <f aca="false">IF(OR(F146="",G146=""),"",F146*G146)</f>
        <v/>
      </c>
      <c r="I146" s="8"/>
      <c r="J146" s="7"/>
      <c r="K146" s="8"/>
      <c r="L146" s="8"/>
      <c r="M146" s="11"/>
      <c r="N146" s="10" t="str">
        <f aca="false">IF(H146="","",IF(K146="Cancelado",0,H146-M146))</f>
        <v/>
      </c>
      <c r="O146" s="10" t="str">
        <f aca="false">IF(OR(F146="",E146=""),"",IFERROR(IF(INDEX(Catálogo!$E$5:$E$34,MATCH(E146,Catálogo!$C$5:$C$34,0))=0,"",F146*INDEX(Catálogo!$E$5:$E$34,MATCH(E146,Catálogo!$C$5:$C$34,0))),""))</f>
        <v/>
      </c>
      <c r="P146" s="10" t="str">
        <f aca="false">IF(OR(H146="",O146=""),"",H146-O146)</f>
        <v/>
      </c>
      <c r="Q146" s="8"/>
      <c r="R146" s="6" t="str">
        <f aca="false">IF(J146="","",YEAR(J146))</f>
        <v/>
      </c>
      <c r="S146" s="6" t="str">
        <f aca="false">IF(J146="","",MONTH(J146))</f>
        <v/>
      </c>
    </row>
    <row r="147" customFormat="false" ht="15" hidden="false" customHeight="false" outlineLevel="0" collapsed="false">
      <c r="A147" s="6" t="str">
        <f aca="false">IF(C147="","",ROW()-5)</f>
        <v/>
      </c>
      <c r="B147" s="7"/>
      <c r="C147" s="8"/>
      <c r="D147" s="8"/>
      <c r="E147" s="8"/>
      <c r="F147" s="9"/>
      <c r="G147" s="10" t="str">
        <f aca="false">IF(E147="","",IFERROR(INDEX(Catálogo!$D$5:$D$34,MATCH(E147,Catálogo!$C$5:$C$34,0)),""))</f>
        <v/>
      </c>
      <c r="H147" s="10" t="str">
        <f aca="false">IF(OR(F147="",G147=""),"",F147*G147)</f>
        <v/>
      </c>
      <c r="I147" s="8"/>
      <c r="J147" s="7"/>
      <c r="K147" s="8"/>
      <c r="L147" s="8"/>
      <c r="M147" s="11"/>
      <c r="N147" s="10" t="str">
        <f aca="false">IF(H147="","",IF(K147="Cancelado",0,H147-M147))</f>
        <v/>
      </c>
      <c r="O147" s="10" t="str">
        <f aca="false">IF(OR(F147="",E147=""),"",IFERROR(IF(INDEX(Catálogo!$E$5:$E$34,MATCH(E147,Catálogo!$C$5:$C$34,0))=0,"",F147*INDEX(Catálogo!$E$5:$E$34,MATCH(E147,Catálogo!$C$5:$C$34,0))),""))</f>
        <v/>
      </c>
      <c r="P147" s="10" t="str">
        <f aca="false">IF(OR(H147="",O147=""),"",H147-O147)</f>
        <v/>
      </c>
      <c r="Q147" s="8"/>
      <c r="R147" s="6" t="str">
        <f aca="false">IF(J147="","",YEAR(J147))</f>
        <v/>
      </c>
      <c r="S147" s="6" t="str">
        <f aca="false">IF(J147="","",MONTH(J147))</f>
        <v/>
      </c>
    </row>
    <row r="148" customFormat="false" ht="15" hidden="false" customHeight="false" outlineLevel="0" collapsed="false">
      <c r="A148" s="6" t="str">
        <f aca="false">IF(C148="","",ROW()-5)</f>
        <v/>
      </c>
      <c r="B148" s="7"/>
      <c r="C148" s="8"/>
      <c r="D148" s="8"/>
      <c r="E148" s="8"/>
      <c r="F148" s="9"/>
      <c r="G148" s="10" t="str">
        <f aca="false">IF(E148="","",IFERROR(INDEX(Catálogo!$D$5:$D$34,MATCH(E148,Catálogo!$C$5:$C$34,0)),""))</f>
        <v/>
      </c>
      <c r="H148" s="10" t="str">
        <f aca="false">IF(OR(F148="",G148=""),"",F148*G148)</f>
        <v/>
      </c>
      <c r="I148" s="8"/>
      <c r="J148" s="7"/>
      <c r="K148" s="8"/>
      <c r="L148" s="8"/>
      <c r="M148" s="11"/>
      <c r="N148" s="10" t="str">
        <f aca="false">IF(H148="","",IF(K148="Cancelado",0,H148-M148))</f>
        <v/>
      </c>
      <c r="O148" s="10" t="str">
        <f aca="false">IF(OR(F148="",E148=""),"",IFERROR(IF(INDEX(Catálogo!$E$5:$E$34,MATCH(E148,Catálogo!$C$5:$C$34,0))=0,"",F148*INDEX(Catálogo!$E$5:$E$34,MATCH(E148,Catálogo!$C$5:$C$34,0))),""))</f>
        <v/>
      </c>
      <c r="P148" s="10" t="str">
        <f aca="false">IF(OR(H148="",O148=""),"",H148-O148)</f>
        <v/>
      </c>
      <c r="Q148" s="8"/>
      <c r="R148" s="6" t="str">
        <f aca="false">IF(J148="","",YEAR(J148))</f>
        <v/>
      </c>
      <c r="S148" s="6" t="str">
        <f aca="false">IF(J148="","",MONTH(J148))</f>
        <v/>
      </c>
    </row>
    <row r="149" customFormat="false" ht="15" hidden="false" customHeight="false" outlineLevel="0" collapsed="false">
      <c r="A149" s="6" t="str">
        <f aca="false">IF(C149="","",ROW()-5)</f>
        <v/>
      </c>
      <c r="B149" s="7"/>
      <c r="C149" s="8"/>
      <c r="D149" s="8"/>
      <c r="E149" s="8"/>
      <c r="F149" s="9"/>
      <c r="G149" s="10" t="str">
        <f aca="false">IF(E149="","",IFERROR(INDEX(Catálogo!$D$5:$D$34,MATCH(E149,Catálogo!$C$5:$C$34,0)),""))</f>
        <v/>
      </c>
      <c r="H149" s="10" t="str">
        <f aca="false">IF(OR(F149="",G149=""),"",F149*G149)</f>
        <v/>
      </c>
      <c r="I149" s="8"/>
      <c r="J149" s="7"/>
      <c r="K149" s="8"/>
      <c r="L149" s="8"/>
      <c r="M149" s="11"/>
      <c r="N149" s="10" t="str">
        <f aca="false">IF(H149="","",IF(K149="Cancelado",0,H149-M149))</f>
        <v/>
      </c>
      <c r="O149" s="10" t="str">
        <f aca="false">IF(OR(F149="",E149=""),"",IFERROR(IF(INDEX(Catálogo!$E$5:$E$34,MATCH(E149,Catálogo!$C$5:$C$34,0))=0,"",F149*INDEX(Catálogo!$E$5:$E$34,MATCH(E149,Catálogo!$C$5:$C$34,0))),""))</f>
        <v/>
      </c>
      <c r="P149" s="10" t="str">
        <f aca="false">IF(OR(H149="",O149=""),"",H149-O149)</f>
        <v/>
      </c>
      <c r="Q149" s="8"/>
      <c r="R149" s="6" t="str">
        <f aca="false">IF(J149="","",YEAR(J149))</f>
        <v/>
      </c>
      <c r="S149" s="6" t="str">
        <f aca="false">IF(J149="","",MONTH(J149))</f>
        <v/>
      </c>
    </row>
    <row r="150" customFormat="false" ht="15" hidden="false" customHeight="false" outlineLevel="0" collapsed="false">
      <c r="A150" s="6" t="str">
        <f aca="false">IF(C150="","",ROW()-5)</f>
        <v/>
      </c>
      <c r="B150" s="7"/>
      <c r="C150" s="8"/>
      <c r="D150" s="8"/>
      <c r="E150" s="8"/>
      <c r="F150" s="9"/>
      <c r="G150" s="10" t="str">
        <f aca="false">IF(E150="","",IFERROR(INDEX(Catálogo!$D$5:$D$34,MATCH(E150,Catálogo!$C$5:$C$34,0)),""))</f>
        <v/>
      </c>
      <c r="H150" s="10" t="str">
        <f aca="false">IF(OR(F150="",G150=""),"",F150*G150)</f>
        <v/>
      </c>
      <c r="I150" s="8"/>
      <c r="J150" s="7"/>
      <c r="K150" s="8"/>
      <c r="L150" s="8"/>
      <c r="M150" s="11"/>
      <c r="N150" s="10" t="str">
        <f aca="false">IF(H150="","",IF(K150="Cancelado",0,H150-M150))</f>
        <v/>
      </c>
      <c r="O150" s="10" t="str">
        <f aca="false">IF(OR(F150="",E150=""),"",IFERROR(IF(INDEX(Catálogo!$E$5:$E$34,MATCH(E150,Catálogo!$C$5:$C$34,0))=0,"",F150*INDEX(Catálogo!$E$5:$E$34,MATCH(E150,Catálogo!$C$5:$C$34,0))),""))</f>
        <v/>
      </c>
      <c r="P150" s="10" t="str">
        <f aca="false">IF(OR(H150="",O150=""),"",H150-O150)</f>
        <v/>
      </c>
      <c r="Q150" s="8"/>
      <c r="R150" s="6" t="str">
        <f aca="false">IF(J150="","",YEAR(J150))</f>
        <v/>
      </c>
      <c r="S150" s="6" t="str">
        <f aca="false">IF(J150="","",MONTH(J150))</f>
        <v/>
      </c>
    </row>
    <row r="151" customFormat="false" ht="15" hidden="false" customHeight="false" outlineLevel="0" collapsed="false">
      <c r="A151" s="6" t="str">
        <f aca="false">IF(C151="","",ROW()-5)</f>
        <v/>
      </c>
      <c r="B151" s="7"/>
      <c r="C151" s="8"/>
      <c r="D151" s="8"/>
      <c r="E151" s="8"/>
      <c r="F151" s="9"/>
      <c r="G151" s="10" t="str">
        <f aca="false">IF(E151="","",IFERROR(INDEX(Catálogo!$D$5:$D$34,MATCH(E151,Catálogo!$C$5:$C$34,0)),""))</f>
        <v/>
      </c>
      <c r="H151" s="10" t="str">
        <f aca="false">IF(OR(F151="",G151=""),"",F151*G151)</f>
        <v/>
      </c>
      <c r="I151" s="8"/>
      <c r="J151" s="7"/>
      <c r="K151" s="8"/>
      <c r="L151" s="8"/>
      <c r="M151" s="11"/>
      <c r="N151" s="10" t="str">
        <f aca="false">IF(H151="","",IF(K151="Cancelado",0,H151-M151))</f>
        <v/>
      </c>
      <c r="O151" s="10" t="str">
        <f aca="false">IF(OR(F151="",E151=""),"",IFERROR(IF(INDEX(Catálogo!$E$5:$E$34,MATCH(E151,Catálogo!$C$5:$C$34,0))=0,"",F151*INDEX(Catálogo!$E$5:$E$34,MATCH(E151,Catálogo!$C$5:$C$34,0))),""))</f>
        <v/>
      </c>
      <c r="P151" s="10" t="str">
        <f aca="false">IF(OR(H151="",O151=""),"",H151-O151)</f>
        <v/>
      </c>
      <c r="Q151" s="8"/>
      <c r="R151" s="6" t="str">
        <f aca="false">IF(J151="","",YEAR(J151))</f>
        <v/>
      </c>
      <c r="S151" s="6" t="str">
        <f aca="false">IF(J151="","",MONTH(J151))</f>
        <v/>
      </c>
    </row>
    <row r="152" customFormat="false" ht="15" hidden="false" customHeight="false" outlineLevel="0" collapsed="false">
      <c r="A152" s="6" t="str">
        <f aca="false">IF(C152="","",ROW()-5)</f>
        <v/>
      </c>
      <c r="B152" s="7"/>
      <c r="C152" s="8"/>
      <c r="D152" s="8"/>
      <c r="E152" s="8"/>
      <c r="F152" s="9"/>
      <c r="G152" s="10" t="str">
        <f aca="false">IF(E152="","",IFERROR(INDEX(Catálogo!$D$5:$D$34,MATCH(E152,Catálogo!$C$5:$C$34,0)),""))</f>
        <v/>
      </c>
      <c r="H152" s="10" t="str">
        <f aca="false">IF(OR(F152="",G152=""),"",F152*G152)</f>
        <v/>
      </c>
      <c r="I152" s="8"/>
      <c r="J152" s="7"/>
      <c r="K152" s="8"/>
      <c r="L152" s="8"/>
      <c r="M152" s="11"/>
      <c r="N152" s="10" t="str">
        <f aca="false">IF(H152="","",IF(K152="Cancelado",0,H152-M152))</f>
        <v/>
      </c>
      <c r="O152" s="10" t="str">
        <f aca="false">IF(OR(F152="",E152=""),"",IFERROR(IF(INDEX(Catálogo!$E$5:$E$34,MATCH(E152,Catálogo!$C$5:$C$34,0))=0,"",F152*INDEX(Catálogo!$E$5:$E$34,MATCH(E152,Catálogo!$C$5:$C$34,0))),""))</f>
        <v/>
      </c>
      <c r="P152" s="10" t="str">
        <f aca="false">IF(OR(H152="",O152=""),"",H152-O152)</f>
        <v/>
      </c>
      <c r="Q152" s="8"/>
      <c r="R152" s="6" t="str">
        <f aca="false">IF(J152="","",YEAR(J152))</f>
        <v/>
      </c>
      <c r="S152" s="6" t="str">
        <f aca="false">IF(J152="","",MONTH(J152))</f>
        <v/>
      </c>
    </row>
    <row r="153" customFormat="false" ht="15" hidden="false" customHeight="false" outlineLevel="0" collapsed="false">
      <c r="A153" s="6" t="str">
        <f aca="false">IF(C153="","",ROW()-5)</f>
        <v/>
      </c>
      <c r="B153" s="7"/>
      <c r="C153" s="8"/>
      <c r="D153" s="8"/>
      <c r="E153" s="8"/>
      <c r="F153" s="9"/>
      <c r="G153" s="10" t="str">
        <f aca="false">IF(E153="","",IFERROR(INDEX(Catálogo!$D$5:$D$34,MATCH(E153,Catálogo!$C$5:$C$34,0)),""))</f>
        <v/>
      </c>
      <c r="H153" s="10" t="str">
        <f aca="false">IF(OR(F153="",G153=""),"",F153*G153)</f>
        <v/>
      </c>
      <c r="I153" s="8"/>
      <c r="J153" s="7"/>
      <c r="K153" s="8"/>
      <c r="L153" s="8"/>
      <c r="M153" s="11"/>
      <c r="N153" s="10" t="str">
        <f aca="false">IF(H153="","",IF(K153="Cancelado",0,H153-M153))</f>
        <v/>
      </c>
      <c r="O153" s="10" t="str">
        <f aca="false">IF(OR(F153="",E153=""),"",IFERROR(IF(INDEX(Catálogo!$E$5:$E$34,MATCH(E153,Catálogo!$C$5:$C$34,0))=0,"",F153*INDEX(Catálogo!$E$5:$E$34,MATCH(E153,Catálogo!$C$5:$C$34,0))),""))</f>
        <v/>
      </c>
      <c r="P153" s="10" t="str">
        <f aca="false">IF(OR(H153="",O153=""),"",H153-O153)</f>
        <v/>
      </c>
      <c r="Q153" s="8"/>
      <c r="R153" s="6" t="str">
        <f aca="false">IF(J153="","",YEAR(J153))</f>
        <v/>
      </c>
      <c r="S153" s="6" t="str">
        <f aca="false">IF(J153="","",MONTH(J153))</f>
        <v/>
      </c>
    </row>
    <row r="154" customFormat="false" ht="15" hidden="false" customHeight="false" outlineLevel="0" collapsed="false">
      <c r="A154" s="6" t="str">
        <f aca="false">IF(C154="","",ROW()-5)</f>
        <v/>
      </c>
      <c r="B154" s="7"/>
      <c r="C154" s="8"/>
      <c r="D154" s="8"/>
      <c r="E154" s="8"/>
      <c r="F154" s="9"/>
      <c r="G154" s="10" t="str">
        <f aca="false">IF(E154="","",IFERROR(INDEX(Catálogo!$D$5:$D$34,MATCH(E154,Catálogo!$C$5:$C$34,0)),""))</f>
        <v/>
      </c>
      <c r="H154" s="10" t="str">
        <f aca="false">IF(OR(F154="",G154=""),"",F154*G154)</f>
        <v/>
      </c>
      <c r="I154" s="8"/>
      <c r="J154" s="7"/>
      <c r="K154" s="8"/>
      <c r="L154" s="8"/>
      <c r="M154" s="11"/>
      <c r="N154" s="10" t="str">
        <f aca="false">IF(H154="","",IF(K154="Cancelado",0,H154-M154))</f>
        <v/>
      </c>
      <c r="O154" s="10" t="str">
        <f aca="false">IF(OR(F154="",E154=""),"",IFERROR(IF(INDEX(Catálogo!$E$5:$E$34,MATCH(E154,Catálogo!$C$5:$C$34,0))=0,"",F154*INDEX(Catálogo!$E$5:$E$34,MATCH(E154,Catálogo!$C$5:$C$34,0))),""))</f>
        <v/>
      </c>
      <c r="P154" s="10" t="str">
        <f aca="false">IF(OR(H154="",O154=""),"",H154-O154)</f>
        <v/>
      </c>
      <c r="Q154" s="8"/>
      <c r="R154" s="6" t="str">
        <f aca="false">IF(J154="","",YEAR(J154))</f>
        <v/>
      </c>
      <c r="S154" s="6" t="str">
        <f aca="false">IF(J154="","",MONTH(J154))</f>
        <v/>
      </c>
    </row>
    <row r="155" customFormat="false" ht="15" hidden="false" customHeight="false" outlineLevel="0" collapsed="false">
      <c r="A155" s="6" t="str">
        <f aca="false">IF(C155="","",ROW()-5)</f>
        <v/>
      </c>
      <c r="B155" s="7"/>
      <c r="C155" s="8"/>
      <c r="D155" s="8"/>
      <c r="E155" s="8"/>
      <c r="F155" s="9"/>
      <c r="G155" s="10" t="str">
        <f aca="false">IF(E155="","",IFERROR(INDEX(Catálogo!$D$5:$D$34,MATCH(E155,Catálogo!$C$5:$C$34,0)),""))</f>
        <v/>
      </c>
      <c r="H155" s="10" t="str">
        <f aca="false">IF(OR(F155="",G155=""),"",F155*G155)</f>
        <v/>
      </c>
      <c r="I155" s="8"/>
      <c r="J155" s="7"/>
      <c r="K155" s="8"/>
      <c r="L155" s="8"/>
      <c r="M155" s="11"/>
      <c r="N155" s="10" t="str">
        <f aca="false">IF(H155="","",IF(K155="Cancelado",0,H155-M155))</f>
        <v/>
      </c>
      <c r="O155" s="10" t="str">
        <f aca="false">IF(OR(F155="",E155=""),"",IFERROR(IF(INDEX(Catálogo!$E$5:$E$34,MATCH(E155,Catálogo!$C$5:$C$34,0))=0,"",F155*INDEX(Catálogo!$E$5:$E$34,MATCH(E155,Catálogo!$C$5:$C$34,0))),""))</f>
        <v/>
      </c>
      <c r="P155" s="10" t="str">
        <f aca="false">IF(OR(H155="",O155=""),"",H155-O155)</f>
        <v/>
      </c>
      <c r="Q155" s="8"/>
      <c r="R155" s="6" t="str">
        <f aca="false">IF(J155="","",YEAR(J155))</f>
        <v/>
      </c>
      <c r="S155" s="6" t="str">
        <f aca="false">IF(J155="","",MONTH(J155))</f>
        <v/>
      </c>
    </row>
    <row r="156" customFormat="false" ht="15" hidden="false" customHeight="false" outlineLevel="0" collapsed="false">
      <c r="A156" s="6" t="str">
        <f aca="false">IF(C156="","",ROW()-5)</f>
        <v/>
      </c>
      <c r="B156" s="7"/>
      <c r="C156" s="8"/>
      <c r="D156" s="8"/>
      <c r="E156" s="8"/>
      <c r="F156" s="9"/>
      <c r="G156" s="10" t="str">
        <f aca="false">IF(E156="","",IFERROR(INDEX(Catálogo!$D$5:$D$34,MATCH(E156,Catálogo!$C$5:$C$34,0)),""))</f>
        <v/>
      </c>
      <c r="H156" s="10" t="str">
        <f aca="false">IF(OR(F156="",G156=""),"",F156*G156)</f>
        <v/>
      </c>
      <c r="I156" s="8"/>
      <c r="J156" s="7"/>
      <c r="K156" s="8"/>
      <c r="L156" s="8"/>
      <c r="M156" s="11"/>
      <c r="N156" s="10" t="str">
        <f aca="false">IF(H156="","",IF(K156="Cancelado",0,H156-M156))</f>
        <v/>
      </c>
      <c r="O156" s="10" t="str">
        <f aca="false">IF(OR(F156="",E156=""),"",IFERROR(IF(INDEX(Catálogo!$E$5:$E$34,MATCH(E156,Catálogo!$C$5:$C$34,0))=0,"",F156*INDEX(Catálogo!$E$5:$E$34,MATCH(E156,Catálogo!$C$5:$C$34,0))),""))</f>
        <v/>
      </c>
      <c r="P156" s="10" t="str">
        <f aca="false">IF(OR(H156="",O156=""),"",H156-O156)</f>
        <v/>
      </c>
      <c r="Q156" s="8"/>
      <c r="R156" s="6" t="str">
        <f aca="false">IF(J156="","",YEAR(J156))</f>
        <v/>
      </c>
      <c r="S156" s="6" t="str">
        <f aca="false">IF(J156="","",MONTH(J156))</f>
        <v/>
      </c>
    </row>
    <row r="157" customFormat="false" ht="15" hidden="false" customHeight="false" outlineLevel="0" collapsed="false">
      <c r="A157" s="6" t="str">
        <f aca="false">IF(C157="","",ROW()-5)</f>
        <v/>
      </c>
      <c r="B157" s="7"/>
      <c r="C157" s="8"/>
      <c r="D157" s="8"/>
      <c r="E157" s="8"/>
      <c r="F157" s="9"/>
      <c r="G157" s="10" t="str">
        <f aca="false">IF(E157="","",IFERROR(INDEX(Catálogo!$D$5:$D$34,MATCH(E157,Catálogo!$C$5:$C$34,0)),""))</f>
        <v/>
      </c>
      <c r="H157" s="10" t="str">
        <f aca="false">IF(OR(F157="",G157=""),"",F157*G157)</f>
        <v/>
      </c>
      <c r="I157" s="8"/>
      <c r="J157" s="7"/>
      <c r="K157" s="8"/>
      <c r="L157" s="8"/>
      <c r="M157" s="11"/>
      <c r="N157" s="10" t="str">
        <f aca="false">IF(H157="","",IF(K157="Cancelado",0,H157-M157))</f>
        <v/>
      </c>
      <c r="O157" s="10" t="str">
        <f aca="false">IF(OR(F157="",E157=""),"",IFERROR(IF(INDEX(Catálogo!$E$5:$E$34,MATCH(E157,Catálogo!$C$5:$C$34,0))=0,"",F157*INDEX(Catálogo!$E$5:$E$34,MATCH(E157,Catálogo!$C$5:$C$34,0))),""))</f>
        <v/>
      </c>
      <c r="P157" s="10" t="str">
        <f aca="false">IF(OR(H157="",O157=""),"",H157-O157)</f>
        <v/>
      </c>
      <c r="Q157" s="8"/>
      <c r="R157" s="6" t="str">
        <f aca="false">IF(J157="","",YEAR(J157))</f>
        <v/>
      </c>
      <c r="S157" s="6" t="str">
        <f aca="false">IF(J157="","",MONTH(J157))</f>
        <v/>
      </c>
    </row>
    <row r="158" customFormat="false" ht="15" hidden="false" customHeight="false" outlineLevel="0" collapsed="false">
      <c r="A158" s="6" t="str">
        <f aca="false">IF(C158="","",ROW()-5)</f>
        <v/>
      </c>
      <c r="B158" s="7"/>
      <c r="C158" s="8"/>
      <c r="D158" s="8"/>
      <c r="E158" s="8"/>
      <c r="F158" s="9"/>
      <c r="G158" s="10" t="str">
        <f aca="false">IF(E158="","",IFERROR(INDEX(Catálogo!$D$5:$D$34,MATCH(E158,Catálogo!$C$5:$C$34,0)),""))</f>
        <v/>
      </c>
      <c r="H158" s="10" t="str">
        <f aca="false">IF(OR(F158="",G158=""),"",F158*G158)</f>
        <v/>
      </c>
      <c r="I158" s="8"/>
      <c r="J158" s="7"/>
      <c r="K158" s="8"/>
      <c r="L158" s="8"/>
      <c r="M158" s="11"/>
      <c r="N158" s="10" t="str">
        <f aca="false">IF(H158="","",IF(K158="Cancelado",0,H158-M158))</f>
        <v/>
      </c>
      <c r="O158" s="10" t="str">
        <f aca="false">IF(OR(F158="",E158=""),"",IFERROR(IF(INDEX(Catálogo!$E$5:$E$34,MATCH(E158,Catálogo!$C$5:$C$34,0))=0,"",F158*INDEX(Catálogo!$E$5:$E$34,MATCH(E158,Catálogo!$C$5:$C$34,0))),""))</f>
        <v/>
      </c>
      <c r="P158" s="10" t="str">
        <f aca="false">IF(OR(H158="",O158=""),"",H158-O158)</f>
        <v/>
      </c>
      <c r="Q158" s="8"/>
      <c r="R158" s="6" t="str">
        <f aca="false">IF(J158="","",YEAR(J158))</f>
        <v/>
      </c>
      <c r="S158" s="6" t="str">
        <f aca="false">IF(J158="","",MONTH(J158))</f>
        <v/>
      </c>
    </row>
    <row r="159" customFormat="false" ht="15" hidden="false" customHeight="false" outlineLevel="0" collapsed="false">
      <c r="A159" s="6" t="str">
        <f aca="false">IF(C159="","",ROW()-5)</f>
        <v/>
      </c>
      <c r="B159" s="7"/>
      <c r="C159" s="8"/>
      <c r="D159" s="8"/>
      <c r="E159" s="8"/>
      <c r="F159" s="9"/>
      <c r="G159" s="10" t="str">
        <f aca="false">IF(E159="","",IFERROR(INDEX(Catálogo!$D$5:$D$34,MATCH(E159,Catálogo!$C$5:$C$34,0)),""))</f>
        <v/>
      </c>
      <c r="H159" s="10" t="str">
        <f aca="false">IF(OR(F159="",G159=""),"",F159*G159)</f>
        <v/>
      </c>
      <c r="I159" s="8"/>
      <c r="J159" s="7"/>
      <c r="K159" s="8"/>
      <c r="L159" s="8"/>
      <c r="M159" s="11"/>
      <c r="N159" s="10" t="str">
        <f aca="false">IF(H159="","",IF(K159="Cancelado",0,H159-M159))</f>
        <v/>
      </c>
      <c r="O159" s="10" t="str">
        <f aca="false">IF(OR(F159="",E159=""),"",IFERROR(IF(INDEX(Catálogo!$E$5:$E$34,MATCH(E159,Catálogo!$C$5:$C$34,0))=0,"",F159*INDEX(Catálogo!$E$5:$E$34,MATCH(E159,Catálogo!$C$5:$C$34,0))),""))</f>
        <v/>
      </c>
      <c r="P159" s="10" t="str">
        <f aca="false">IF(OR(H159="",O159=""),"",H159-O159)</f>
        <v/>
      </c>
      <c r="Q159" s="8"/>
      <c r="R159" s="6" t="str">
        <f aca="false">IF(J159="","",YEAR(J159))</f>
        <v/>
      </c>
      <c r="S159" s="6" t="str">
        <f aca="false">IF(J159="","",MONTH(J159))</f>
        <v/>
      </c>
    </row>
    <row r="160" customFormat="false" ht="15" hidden="false" customHeight="false" outlineLevel="0" collapsed="false">
      <c r="A160" s="6" t="str">
        <f aca="false">IF(C160="","",ROW()-5)</f>
        <v/>
      </c>
      <c r="B160" s="7"/>
      <c r="C160" s="8"/>
      <c r="D160" s="8"/>
      <c r="E160" s="8"/>
      <c r="F160" s="9"/>
      <c r="G160" s="10" t="str">
        <f aca="false">IF(E160="","",IFERROR(INDEX(Catálogo!$D$5:$D$34,MATCH(E160,Catálogo!$C$5:$C$34,0)),""))</f>
        <v/>
      </c>
      <c r="H160" s="10" t="str">
        <f aca="false">IF(OR(F160="",G160=""),"",F160*G160)</f>
        <v/>
      </c>
      <c r="I160" s="8"/>
      <c r="J160" s="7"/>
      <c r="K160" s="8"/>
      <c r="L160" s="8"/>
      <c r="M160" s="11"/>
      <c r="N160" s="10" t="str">
        <f aca="false">IF(H160="","",IF(K160="Cancelado",0,H160-M160))</f>
        <v/>
      </c>
      <c r="O160" s="10" t="str">
        <f aca="false">IF(OR(F160="",E160=""),"",IFERROR(IF(INDEX(Catálogo!$E$5:$E$34,MATCH(E160,Catálogo!$C$5:$C$34,0))=0,"",F160*INDEX(Catálogo!$E$5:$E$34,MATCH(E160,Catálogo!$C$5:$C$34,0))),""))</f>
        <v/>
      </c>
      <c r="P160" s="10" t="str">
        <f aca="false">IF(OR(H160="",O160=""),"",H160-O160)</f>
        <v/>
      </c>
      <c r="Q160" s="8"/>
      <c r="R160" s="6" t="str">
        <f aca="false">IF(J160="","",YEAR(J160))</f>
        <v/>
      </c>
      <c r="S160" s="6" t="str">
        <f aca="false">IF(J160="","",MONTH(J160))</f>
        <v/>
      </c>
    </row>
    <row r="161" customFormat="false" ht="15" hidden="false" customHeight="false" outlineLevel="0" collapsed="false">
      <c r="A161" s="6" t="str">
        <f aca="false">IF(C161="","",ROW()-5)</f>
        <v/>
      </c>
      <c r="B161" s="7"/>
      <c r="C161" s="8"/>
      <c r="D161" s="8"/>
      <c r="E161" s="8"/>
      <c r="F161" s="9"/>
      <c r="G161" s="10" t="str">
        <f aca="false">IF(E161="","",IFERROR(INDEX(Catálogo!$D$5:$D$34,MATCH(E161,Catálogo!$C$5:$C$34,0)),""))</f>
        <v/>
      </c>
      <c r="H161" s="10" t="str">
        <f aca="false">IF(OR(F161="",G161=""),"",F161*G161)</f>
        <v/>
      </c>
      <c r="I161" s="8"/>
      <c r="J161" s="7"/>
      <c r="K161" s="8"/>
      <c r="L161" s="8"/>
      <c r="M161" s="11"/>
      <c r="N161" s="10" t="str">
        <f aca="false">IF(H161="","",IF(K161="Cancelado",0,H161-M161))</f>
        <v/>
      </c>
      <c r="O161" s="10" t="str">
        <f aca="false">IF(OR(F161="",E161=""),"",IFERROR(IF(INDEX(Catálogo!$E$5:$E$34,MATCH(E161,Catálogo!$C$5:$C$34,0))=0,"",F161*INDEX(Catálogo!$E$5:$E$34,MATCH(E161,Catálogo!$C$5:$C$34,0))),""))</f>
        <v/>
      </c>
      <c r="P161" s="10" t="str">
        <f aca="false">IF(OR(H161="",O161=""),"",H161-O161)</f>
        <v/>
      </c>
      <c r="Q161" s="8"/>
      <c r="R161" s="6" t="str">
        <f aca="false">IF(J161="","",YEAR(J161))</f>
        <v/>
      </c>
      <c r="S161" s="6" t="str">
        <f aca="false">IF(J161="","",MONTH(J161))</f>
        <v/>
      </c>
    </row>
    <row r="162" customFormat="false" ht="15" hidden="false" customHeight="false" outlineLevel="0" collapsed="false">
      <c r="A162" s="6" t="str">
        <f aca="false">IF(C162="","",ROW()-5)</f>
        <v/>
      </c>
      <c r="B162" s="7"/>
      <c r="C162" s="8"/>
      <c r="D162" s="8"/>
      <c r="E162" s="8"/>
      <c r="F162" s="9"/>
      <c r="G162" s="10" t="str">
        <f aca="false">IF(E162="","",IFERROR(INDEX(Catálogo!$D$5:$D$34,MATCH(E162,Catálogo!$C$5:$C$34,0)),""))</f>
        <v/>
      </c>
      <c r="H162" s="10" t="str">
        <f aca="false">IF(OR(F162="",G162=""),"",F162*G162)</f>
        <v/>
      </c>
      <c r="I162" s="8"/>
      <c r="J162" s="7"/>
      <c r="K162" s="8"/>
      <c r="L162" s="8"/>
      <c r="M162" s="11"/>
      <c r="N162" s="10" t="str">
        <f aca="false">IF(H162="","",IF(K162="Cancelado",0,H162-M162))</f>
        <v/>
      </c>
      <c r="O162" s="10" t="str">
        <f aca="false">IF(OR(F162="",E162=""),"",IFERROR(IF(INDEX(Catálogo!$E$5:$E$34,MATCH(E162,Catálogo!$C$5:$C$34,0))=0,"",F162*INDEX(Catálogo!$E$5:$E$34,MATCH(E162,Catálogo!$C$5:$C$34,0))),""))</f>
        <v/>
      </c>
      <c r="P162" s="10" t="str">
        <f aca="false">IF(OR(H162="",O162=""),"",H162-O162)</f>
        <v/>
      </c>
      <c r="Q162" s="8"/>
      <c r="R162" s="6" t="str">
        <f aca="false">IF(J162="","",YEAR(J162))</f>
        <v/>
      </c>
      <c r="S162" s="6" t="str">
        <f aca="false">IF(J162="","",MONTH(J162))</f>
        <v/>
      </c>
    </row>
    <row r="163" customFormat="false" ht="15" hidden="false" customHeight="false" outlineLevel="0" collapsed="false">
      <c r="A163" s="6" t="str">
        <f aca="false">IF(C163="","",ROW()-5)</f>
        <v/>
      </c>
      <c r="B163" s="7"/>
      <c r="C163" s="8"/>
      <c r="D163" s="8"/>
      <c r="E163" s="8"/>
      <c r="F163" s="9"/>
      <c r="G163" s="10" t="str">
        <f aca="false">IF(E163="","",IFERROR(INDEX(Catálogo!$D$5:$D$34,MATCH(E163,Catálogo!$C$5:$C$34,0)),""))</f>
        <v/>
      </c>
      <c r="H163" s="10" t="str">
        <f aca="false">IF(OR(F163="",G163=""),"",F163*G163)</f>
        <v/>
      </c>
      <c r="I163" s="8"/>
      <c r="J163" s="7"/>
      <c r="K163" s="8"/>
      <c r="L163" s="8"/>
      <c r="M163" s="11"/>
      <c r="N163" s="10" t="str">
        <f aca="false">IF(H163="","",IF(K163="Cancelado",0,H163-M163))</f>
        <v/>
      </c>
      <c r="O163" s="10" t="str">
        <f aca="false">IF(OR(F163="",E163=""),"",IFERROR(IF(INDEX(Catálogo!$E$5:$E$34,MATCH(E163,Catálogo!$C$5:$C$34,0))=0,"",F163*INDEX(Catálogo!$E$5:$E$34,MATCH(E163,Catálogo!$C$5:$C$34,0))),""))</f>
        <v/>
      </c>
      <c r="P163" s="10" t="str">
        <f aca="false">IF(OR(H163="",O163=""),"",H163-O163)</f>
        <v/>
      </c>
      <c r="Q163" s="8"/>
      <c r="R163" s="6" t="str">
        <f aca="false">IF(J163="","",YEAR(J163))</f>
        <v/>
      </c>
      <c r="S163" s="6" t="str">
        <f aca="false">IF(J163="","",MONTH(J163))</f>
        <v/>
      </c>
    </row>
    <row r="164" customFormat="false" ht="15" hidden="false" customHeight="false" outlineLevel="0" collapsed="false">
      <c r="A164" s="6" t="str">
        <f aca="false">IF(C164="","",ROW()-5)</f>
        <v/>
      </c>
      <c r="B164" s="7"/>
      <c r="C164" s="8"/>
      <c r="D164" s="8"/>
      <c r="E164" s="8"/>
      <c r="F164" s="9"/>
      <c r="G164" s="10" t="str">
        <f aca="false">IF(E164="","",IFERROR(INDEX(Catálogo!$D$5:$D$34,MATCH(E164,Catálogo!$C$5:$C$34,0)),""))</f>
        <v/>
      </c>
      <c r="H164" s="10" t="str">
        <f aca="false">IF(OR(F164="",G164=""),"",F164*G164)</f>
        <v/>
      </c>
      <c r="I164" s="8"/>
      <c r="J164" s="7"/>
      <c r="K164" s="8"/>
      <c r="L164" s="8"/>
      <c r="M164" s="11"/>
      <c r="N164" s="10" t="str">
        <f aca="false">IF(H164="","",IF(K164="Cancelado",0,H164-M164))</f>
        <v/>
      </c>
      <c r="O164" s="10" t="str">
        <f aca="false">IF(OR(F164="",E164=""),"",IFERROR(IF(INDEX(Catálogo!$E$5:$E$34,MATCH(E164,Catálogo!$C$5:$C$34,0))=0,"",F164*INDEX(Catálogo!$E$5:$E$34,MATCH(E164,Catálogo!$C$5:$C$34,0))),""))</f>
        <v/>
      </c>
      <c r="P164" s="10" t="str">
        <f aca="false">IF(OR(H164="",O164=""),"",H164-O164)</f>
        <v/>
      </c>
      <c r="Q164" s="8"/>
      <c r="R164" s="6" t="str">
        <f aca="false">IF(J164="","",YEAR(J164))</f>
        <v/>
      </c>
      <c r="S164" s="6" t="str">
        <f aca="false">IF(J164="","",MONTH(J164))</f>
        <v/>
      </c>
    </row>
    <row r="165" customFormat="false" ht="15" hidden="false" customHeight="false" outlineLevel="0" collapsed="false">
      <c r="A165" s="6" t="str">
        <f aca="false">IF(C165="","",ROW()-5)</f>
        <v/>
      </c>
      <c r="B165" s="7"/>
      <c r="C165" s="8"/>
      <c r="D165" s="8"/>
      <c r="E165" s="8"/>
      <c r="F165" s="9"/>
      <c r="G165" s="10" t="str">
        <f aca="false">IF(E165="","",IFERROR(INDEX(Catálogo!$D$5:$D$34,MATCH(E165,Catálogo!$C$5:$C$34,0)),""))</f>
        <v/>
      </c>
      <c r="H165" s="10" t="str">
        <f aca="false">IF(OR(F165="",G165=""),"",F165*G165)</f>
        <v/>
      </c>
      <c r="I165" s="8"/>
      <c r="J165" s="7"/>
      <c r="K165" s="8"/>
      <c r="L165" s="8"/>
      <c r="M165" s="11"/>
      <c r="N165" s="10" t="str">
        <f aca="false">IF(H165="","",IF(K165="Cancelado",0,H165-M165))</f>
        <v/>
      </c>
      <c r="O165" s="10" t="str">
        <f aca="false">IF(OR(F165="",E165=""),"",IFERROR(IF(INDEX(Catálogo!$E$5:$E$34,MATCH(E165,Catálogo!$C$5:$C$34,0))=0,"",F165*INDEX(Catálogo!$E$5:$E$34,MATCH(E165,Catálogo!$C$5:$C$34,0))),""))</f>
        <v/>
      </c>
      <c r="P165" s="10" t="str">
        <f aca="false">IF(OR(H165="",O165=""),"",H165-O165)</f>
        <v/>
      </c>
      <c r="Q165" s="8"/>
      <c r="R165" s="6" t="str">
        <f aca="false">IF(J165="","",YEAR(J165))</f>
        <v/>
      </c>
      <c r="S165" s="6" t="str">
        <f aca="false">IF(J165="","",MONTH(J165))</f>
        <v/>
      </c>
    </row>
    <row r="166" customFormat="false" ht="15" hidden="false" customHeight="false" outlineLevel="0" collapsed="false">
      <c r="A166" s="6" t="str">
        <f aca="false">IF(C166="","",ROW()-5)</f>
        <v/>
      </c>
      <c r="B166" s="7"/>
      <c r="C166" s="8"/>
      <c r="D166" s="8"/>
      <c r="E166" s="8"/>
      <c r="F166" s="9"/>
      <c r="G166" s="10" t="str">
        <f aca="false">IF(E166="","",IFERROR(INDEX(Catálogo!$D$5:$D$34,MATCH(E166,Catálogo!$C$5:$C$34,0)),""))</f>
        <v/>
      </c>
      <c r="H166" s="10" t="str">
        <f aca="false">IF(OR(F166="",G166=""),"",F166*G166)</f>
        <v/>
      </c>
      <c r="I166" s="8"/>
      <c r="J166" s="7"/>
      <c r="K166" s="8"/>
      <c r="L166" s="8"/>
      <c r="M166" s="11"/>
      <c r="N166" s="10" t="str">
        <f aca="false">IF(H166="","",IF(K166="Cancelado",0,H166-M166))</f>
        <v/>
      </c>
      <c r="O166" s="10" t="str">
        <f aca="false">IF(OR(F166="",E166=""),"",IFERROR(IF(INDEX(Catálogo!$E$5:$E$34,MATCH(E166,Catálogo!$C$5:$C$34,0))=0,"",F166*INDEX(Catálogo!$E$5:$E$34,MATCH(E166,Catálogo!$C$5:$C$34,0))),""))</f>
        <v/>
      </c>
      <c r="P166" s="10" t="str">
        <f aca="false">IF(OR(H166="",O166=""),"",H166-O166)</f>
        <v/>
      </c>
      <c r="Q166" s="8"/>
      <c r="R166" s="6" t="str">
        <f aca="false">IF(J166="","",YEAR(J166))</f>
        <v/>
      </c>
      <c r="S166" s="6" t="str">
        <f aca="false">IF(J166="","",MONTH(J166))</f>
        <v/>
      </c>
    </row>
    <row r="167" customFormat="false" ht="15" hidden="false" customHeight="false" outlineLevel="0" collapsed="false">
      <c r="A167" s="6" t="str">
        <f aca="false">IF(C167="","",ROW()-5)</f>
        <v/>
      </c>
      <c r="B167" s="7"/>
      <c r="C167" s="8"/>
      <c r="D167" s="8"/>
      <c r="E167" s="8"/>
      <c r="F167" s="9"/>
      <c r="G167" s="10" t="str">
        <f aca="false">IF(E167="","",IFERROR(INDEX(Catálogo!$D$5:$D$34,MATCH(E167,Catálogo!$C$5:$C$34,0)),""))</f>
        <v/>
      </c>
      <c r="H167" s="10" t="str">
        <f aca="false">IF(OR(F167="",G167=""),"",F167*G167)</f>
        <v/>
      </c>
      <c r="I167" s="8"/>
      <c r="J167" s="7"/>
      <c r="K167" s="8"/>
      <c r="L167" s="8"/>
      <c r="M167" s="11"/>
      <c r="N167" s="10" t="str">
        <f aca="false">IF(H167="","",IF(K167="Cancelado",0,H167-M167))</f>
        <v/>
      </c>
      <c r="O167" s="10" t="str">
        <f aca="false">IF(OR(F167="",E167=""),"",IFERROR(IF(INDEX(Catálogo!$E$5:$E$34,MATCH(E167,Catálogo!$C$5:$C$34,0))=0,"",F167*INDEX(Catálogo!$E$5:$E$34,MATCH(E167,Catálogo!$C$5:$C$34,0))),""))</f>
        <v/>
      </c>
      <c r="P167" s="10" t="str">
        <f aca="false">IF(OR(H167="",O167=""),"",H167-O167)</f>
        <v/>
      </c>
      <c r="Q167" s="8"/>
      <c r="R167" s="6" t="str">
        <f aca="false">IF(J167="","",YEAR(J167))</f>
        <v/>
      </c>
      <c r="S167" s="6" t="str">
        <f aca="false">IF(J167="","",MONTH(J167))</f>
        <v/>
      </c>
    </row>
    <row r="168" customFormat="false" ht="15" hidden="false" customHeight="false" outlineLevel="0" collapsed="false">
      <c r="A168" s="6" t="str">
        <f aca="false">IF(C168="","",ROW()-5)</f>
        <v/>
      </c>
      <c r="B168" s="7"/>
      <c r="C168" s="8"/>
      <c r="D168" s="8"/>
      <c r="E168" s="8"/>
      <c r="F168" s="9"/>
      <c r="G168" s="10" t="str">
        <f aca="false">IF(E168="","",IFERROR(INDEX(Catálogo!$D$5:$D$34,MATCH(E168,Catálogo!$C$5:$C$34,0)),""))</f>
        <v/>
      </c>
      <c r="H168" s="10" t="str">
        <f aca="false">IF(OR(F168="",G168=""),"",F168*G168)</f>
        <v/>
      </c>
      <c r="I168" s="8"/>
      <c r="J168" s="7"/>
      <c r="K168" s="8"/>
      <c r="L168" s="8"/>
      <c r="M168" s="11"/>
      <c r="N168" s="10" t="str">
        <f aca="false">IF(H168="","",IF(K168="Cancelado",0,H168-M168))</f>
        <v/>
      </c>
      <c r="O168" s="10" t="str">
        <f aca="false">IF(OR(F168="",E168=""),"",IFERROR(IF(INDEX(Catálogo!$E$5:$E$34,MATCH(E168,Catálogo!$C$5:$C$34,0))=0,"",F168*INDEX(Catálogo!$E$5:$E$34,MATCH(E168,Catálogo!$C$5:$C$34,0))),""))</f>
        <v/>
      </c>
      <c r="P168" s="10" t="str">
        <f aca="false">IF(OR(H168="",O168=""),"",H168-O168)</f>
        <v/>
      </c>
      <c r="Q168" s="8"/>
      <c r="R168" s="6" t="str">
        <f aca="false">IF(J168="","",YEAR(J168))</f>
        <v/>
      </c>
      <c r="S168" s="6" t="str">
        <f aca="false">IF(J168="","",MONTH(J168))</f>
        <v/>
      </c>
    </row>
    <row r="169" customFormat="false" ht="15" hidden="false" customHeight="false" outlineLevel="0" collapsed="false">
      <c r="A169" s="6" t="str">
        <f aca="false">IF(C169="","",ROW()-5)</f>
        <v/>
      </c>
      <c r="B169" s="7"/>
      <c r="C169" s="8"/>
      <c r="D169" s="8"/>
      <c r="E169" s="8"/>
      <c r="F169" s="9"/>
      <c r="G169" s="10" t="str">
        <f aca="false">IF(E169="","",IFERROR(INDEX(Catálogo!$D$5:$D$34,MATCH(E169,Catálogo!$C$5:$C$34,0)),""))</f>
        <v/>
      </c>
      <c r="H169" s="10" t="str">
        <f aca="false">IF(OR(F169="",G169=""),"",F169*G169)</f>
        <v/>
      </c>
      <c r="I169" s="8"/>
      <c r="J169" s="7"/>
      <c r="K169" s="8"/>
      <c r="L169" s="8"/>
      <c r="M169" s="11"/>
      <c r="N169" s="10" t="str">
        <f aca="false">IF(H169="","",IF(K169="Cancelado",0,H169-M169))</f>
        <v/>
      </c>
      <c r="O169" s="10" t="str">
        <f aca="false">IF(OR(F169="",E169=""),"",IFERROR(IF(INDEX(Catálogo!$E$5:$E$34,MATCH(E169,Catálogo!$C$5:$C$34,0))=0,"",F169*INDEX(Catálogo!$E$5:$E$34,MATCH(E169,Catálogo!$C$5:$C$34,0))),""))</f>
        <v/>
      </c>
      <c r="P169" s="10" t="str">
        <f aca="false">IF(OR(H169="",O169=""),"",H169-O169)</f>
        <v/>
      </c>
      <c r="Q169" s="8"/>
      <c r="R169" s="6" t="str">
        <f aca="false">IF(J169="","",YEAR(J169))</f>
        <v/>
      </c>
      <c r="S169" s="6" t="str">
        <f aca="false">IF(J169="","",MONTH(J169))</f>
        <v/>
      </c>
    </row>
    <row r="170" customFormat="false" ht="15" hidden="false" customHeight="false" outlineLevel="0" collapsed="false">
      <c r="A170" s="6" t="str">
        <f aca="false">IF(C170="","",ROW()-5)</f>
        <v/>
      </c>
      <c r="B170" s="7"/>
      <c r="C170" s="8"/>
      <c r="D170" s="8"/>
      <c r="E170" s="8"/>
      <c r="F170" s="9"/>
      <c r="G170" s="10" t="str">
        <f aca="false">IF(E170="","",IFERROR(INDEX(Catálogo!$D$5:$D$34,MATCH(E170,Catálogo!$C$5:$C$34,0)),""))</f>
        <v/>
      </c>
      <c r="H170" s="10" t="str">
        <f aca="false">IF(OR(F170="",G170=""),"",F170*G170)</f>
        <v/>
      </c>
      <c r="I170" s="8"/>
      <c r="J170" s="7"/>
      <c r="K170" s="8"/>
      <c r="L170" s="8"/>
      <c r="M170" s="11"/>
      <c r="N170" s="10" t="str">
        <f aca="false">IF(H170="","",IF(K170="Cancelado",0,H170-M170))</f>
        <v/>
      </c>
      <c r="O170" s="10" t="str">
        <f aca="false">IF(OR(F170="",E170=""),"",IFERROR(IF(INDEX(Catálogo!$E$5:$E$34,MATCH(E170,Catálogo!$C$5:$C$34,0))=0,"",F170*INDEX(Catálogo!$E$5:$E$34,MATCH(E170,Catálogo!$C$5:$C$34,0))),""))</f>
        <v/>
      </c>
      <c r="P170" s="10" t="str">
        <f aca="false">IF(OR(H170="",O170=""),"",H170-O170)</f>
        <v/>
      </c>
      <c r="Q170" s="8"/>
      <c r="R170" s="6" t="str">
        <f aca="false">IF(J170="","",YEAR(J170))</f>
        <v/>
      </c>
      <c r="S170" s="6" t="str">
        <f aca="false">IF(J170="","",MONTH(J170))</f>
        <v/>
      </c>
    </row>
    <row r="171" customFormat="false" ht="15" hidden="false" customHeight="false" outlineLevel="0" collapsed="false">
      <c r="A171" s="6" t="str">
        <f aca="false">IF(C171="","",ROW()-5)</f>
        <v/>
      </c>
      <c r="B171" s="7"/>
      <c r="C171" s="8"/>
      <c r="D171" s="8"/>
      <c r="E171" s="8"/>
      <c r="F171" s="9"/>
      <c r="G171" s="10" t="str">
        <f aca="false">IF(E171="","",IFERROR(INDEX(Catálogo!$D$5:$D$34,MATCH(E171,Catálogo!$C$5:$C$34,0)),""))</f>
        <v/>
      </c>
      <c r="H171" s="10" t="str">
        <f aca="false">IF(OR(F171="",G171=""),"",F171*G171)</f>
        <v/>
      </c>
      <c r="I171" s="8"/>
      <c r="J171" s="7"/>
      <c r="K171" s="8"/>
      <c r="L171" s="8"/>
      <c r="M171" s="11"/>
      <c r="N171" s="10" t="str">
        <f aca="false">IF(H171="","",IF(K171="Cancelado",0,H171-M171))</f>
        <v/>
      </c>
      <c r="O171" s="10" t="str">
        <f aca="false">IF(OR(F171="",E171=""),"",IFERROR(IF(INDEX(Catálogo!$E$5:$E$34,MATCH(E171,Catálogo!$C$5:$C$34,0))=0,"",F171*INDEX(Catálogo!$E$5:$E$34,MATCH(E171,Catálogo!$C$5:$C$34,0))),""))</f>
        <v/>
      </c>
      <c r="P171" s="10" t="str">
        <f aca="false">IF(OR(H171="",O171=""),"",H171-O171)</f>
        <v/>
      </c>
      <c r="Q171" s="8"/>
      <c r="R171" s="6" t="str">
        <f aca="false">IF(J171="","",YEAR(J171))</f>
        <v/>
      </c>
      <c r="S171" s="6" t="str">
        <f aca="false">IF(J171="","",MONTH(J171))</f>
        <v/>
      </c>
    </row>
    <row r="172" customFormat="false" ht="15" hidden="false" customHeight="false" outlineLevel="0" collapsed="false">
      <c r="A172" s="6" t="str">
        <f aca="false">IF(C172="","",ROW()-5)</f>
        <v/>
      </c>
      <c r="B172" s="7"/>
      <c r="C172" s="8"/>
      <c r="D172" s="8"/>
      <c r="E172" s="8"/>
      <c r="F172" s="9"/>
      <c r="G172" s="10" t="str">
        <f aca="false">IF(E172="","",IFERROR(INDEX(Catálogo!$D$5:$D$34,MATCH(E172,Catálogo!$C$5:$C$34,0)),""))</f>
        <v/>
      </c>
      <c r="H172" s="10" t="str">
        <f aca="false">IF(OR(F172="",G172=""),"",F172*G172)</f>
        <v/>
      </c>
      <c r="I172" s="8"/>
      <c r="J172" s="7"/>
      <c r="K172" s="8"/>
      <c r="L172" s="8"/>
      <c r="M172" s="11"/>
      <c r="N172" s="10" t="str">
        <f aca="false">IF(H172="","",IF(K172="Cancelado",0,H172-M172))</f>
        <v/>
      </c>
      <c r="O172" s="10" t="str">
        <f aca="false">IF(OR(F172="",E172=""),"",IFERROR(IF(INDEX(Catálogo!$E$5:$E$34,MATCH(E172,Catálogo!$C$5:$C$34,0))=0,"",F172*INDEX(Catálogo!$E$5:$E$34,MATCH(E172,Catálogo!$C$5:$C$34,0))),""))</f>
        <v/>
      </c>
      <c r="P172" s="10" t="str">
        <f aca="false">IF(OR(H172="",O172=""),"",H172-O172)</f>
        <v/>
      </c>
      <c r="Q172" s="8"/>
      <c r="R172" s="6" t="str">
        <f aca="false">IF(J172="","",YEAR(J172))</f>
        <v/>
      </c>
      <c r="S172" s="6" t="str">
        <f aca="false">IF(J172="","",MONTH(J172))</f>
        <v/>
      </c>
    </row>
    <row r="173" customFormat="false" ht="15" hidden="false" customHeight="false" outlineLevel="0" collapsed="false">
      <c r="A173" s="6" t="str">
        <f aca="false">IF(C173="","",ROW()-5)</f>
        <v/>
      </c>
      <c r="B173" s="7"/>
      <c r="C173" s="8"/>
      <c r="D173" s="8"/>
      <c r="E173" s="8"/>
      <c r="F173" s="9"/>
      <c r="G173" s="10" t="str">
        <f aca="false">IF(E173="","",IFERROR(INDEX(Catálogo!$D$5:$D$34,MATCH(E173,Catálogo!$C$5:$C$34,0)),""))</f>
        <v/>
      </c>
      <c r="H173" s="10" t="str">
        <f aca="false">IF(OR(F173="",G173=""),"",F173*G173)</f>
        <v/>
      </c>
      <c r="I173" s="8"/>
      <c r="J173" s="7"/>
      <c r="K173" s="8"/>
      <c r="L173" s="8"/>
      <c r="M173" s="11"/>
      <c r="N173" s="10" t="str">
        <f aca="false">IF(H173="","",IF(K173="Cancelado",0,H173-M173))</f>
        <v/>
      </c>
      <c r="O173" s="10" t="str">
        <f aca="false">IF(OR(F173="",E173=""),"",IFERROR(IF(INDEX(Catálogo!$E$5:$E$34,MATCH(E173,Catálogo!$C$5:$C$34,0))=0,"",F173*INDEX(Catálogo!$E$5:$E$34,MATCH(E173,Catálogo!$C$5:$C$34,0))),""))</f>
        <v/>
      </c>
      <c r="P173" s="10" t="str">
        <f aca="false">IF(OR(H173="",O173=""),"",H173-O173)</f>
        <v/>
      </c>
      <c r="Q173" s="8"/>
      <c r="R173" s="6" t="str">
        <f aca="false">IF(J173="","",YEAR(J173))</f>
        <v/>
      </c>
      <c r="S173" s="6" t="str">
        <f aca="false">IF(J173="","",MONTH(J173))</f>
        <v/>
      </c>
    </row>
    <row r="174" customFormat="false" ht="15" hidden="false" customHeight="false" outlineLevel="0" collapsed="false">
      <c r="A174" s="6" t="str">
        <f aca="false">IF(C174="","",ROW()-5)</f>
        <v/>
      </c>
      <c r="B174" s="7"/>
      <c r="C174" s="8"/>
      <c r="D174" s="8"/>
      <c r="E174" s="8"/>
      <c r="F174" s="9"/>
      <c r="G174" s="10" t="str">
        <f aca="false">IF(E174="","",IFERROR(INDEX(Catálogo!$D$5:$D$34,MATCH(E174,Catálogo!$C$5:$C$34,0)),""))</f>
        <v/>
      </c>
      <c r="H174" s="10" t="str">
        <f aca="false">IF(OR(F174="",G174=""),"",F174*G174)</f>
        <v/>
      </c>
      <c r="I174" s="8"/>
      <c r="J174" s="7"/>
      <c r="K174" s="8"/>
      <c r="L174" s="8"/>
      <c r="M174" s="11"/>
      <c r="N174" s="10" t="str">
        <f aca="false">IF(H174="","",IF(K174="Cancelado",0,H174-M174))</f>
        <v/>
      </c>
      <c r="O174" s="10" t="str">
        <f aca="false">IF(OR(F174="",E174=""),"",IFERROR(IF(INDEX(Catálogo!$E$5:$E$34,MATCH(E174,Catálogo!$C$5:$C$34,0))=0,"",F174*INDEX(Catálogo!$E$5:$E$34,MATCH(E174,Catálogo!$C$5:$C$34,0))),""))</f>
        <v/>
      </c>
      <c r="P174" s="10" t="str">
        <f aca="false">IF(OR(H174="",O174=""),"",H174-O174)</f>
        <v/>
      </c>
      <c r="Q174" s="8"/>
      <c r="R174" s="6" t="str">
        <f aca="false">IF(J174="","",YEAR(J174))</f>
        <v/>
      </c>
      <c r="S174" s="6" t="str">
        <f aca="false">IF(J174="","",MONTH(J174))</f>
        <v/>
      </c>
    </row>
    <row r="175" customFormat="false" ht="15" hidden="false" customHeight="false" outlineLevel="0" collapsed="false">
      <c r="A175" s="6" t="str">
        <f aca="false">IF(C175="","",ROW()-5)</f>
        <v/>
      </c>
      <c r="B175" s="7"/>
      <c r="C175" s="8"/>
      <c r="D175" s="8"/>
      <c r="E175" s="8"/>
      <c r="F175" s="9"/>
      <c r="G175" s="10" t="str">
        <f aca="false">IF(E175="","",IFERROR(INDEX(Catálogo!$D$5:$D$34,MATCH(E175,Catálogo!$C$5:$C$34,0)),""))</f>
        <v/>
      </c>
      <c r="H175" s="10" t="str">
        <f aca="false">IF(OR(F175="",G175=""),"",F175*G175)</f>
        <v/>
      </c>
      <c r="I175" s="8"/>
      <c r="J175" s="7"/>
      <c r="K175" s="8"/>
      <c r="L175" s="8"/>
      <c r="M175" s="11"/>
      <c r="N175" s="10" t="str">
        <f aca="false">IF(H175="","",IF(K175="Cancelado",0,H175-M175))</f>
        <v/>
      </c>
      <c r="O175" s="10" t="str">
        <f aca="false">IF(OR(F175="",E175=""),"",IFERROR(IF(INDEX(Catálogo!$E$5:$E$34,MATCH(E175,Catálogo!$C$5:$C$34,0))=0,"",F175*INDEX(Catálogo!$E$5:$E$34,MATCH(E175,Catálogo!$C$5:$C$34,0))),""))</f>
        <v/>
      </c>
      <c r="P175" s="10" t="str">
        <f aca="false">IF(OR(H175="",O175=""),"",H175-O175)</f>
        <v/>
      </c>
      <c r="Q175" s="8"/>
      <c r="R175" s="6" t="str">
        <f aca="false">IF(J175="","",YEAR(J175))</f>
        <v/>
      </c>
      <c r="S175" s="6" t="str">
        <f aca="false">IF(J175="","",MONTH(J175))</f>
        <v/>
      </c>
    </row>
    <row r="176" customFormat="false" ht="15" hidden="false" customHeight="false" outlineLevel="0" collapsed="false">
      <c r="A176" s="6" t="str">
        <f aca="false">IF(C176="","",ROW()-5)</f>
        <v/>
      </c>
      <c r="B176" s="7"/>
      <c r="C176" s="8"/>
      <c r="D176" s="8"/>
      <c r="E176" s="8"/>
      <c r="F176" s="9"/>
      <c r="G176" s="10" t="str">
        <f aca="false">IF(E176="","",IFERROR(INDEX(Catálogo!$D$5:$D$34,MATCH(E176,Catálogo!$C$5:$C$34,0)),""))</f>
        <v/>
      </c>
      <c r="H176" s="10" t="str">
        <f aca="false">IF(OR(F176="",G176=""),"",F176*G176)</f>
        <v/>
      </c>
      <c r="I176" s="8"/>
      <c r="J176" s="7"/>
      <c r="K176" s="8"/>
      <c r="L176" s="8"/>
      <c r="M176" s="11"/>
      <c r="N176" s="10" t="str">
        <f aca="false">IF(H176="","",IF(K176="Cancelado",0,H176-M176))</f>
        <v/>
      </c>
      <c r="O176" s="10" t="str">
        <f aca="false">IF(OR(F176="",E176=""),"",IFERROR(IF(INDEX(Catálogo!$E$5:$E$34,MATCH(E176,Catálogo!$C$5:$C$34,0))=0,"",F176*INDEX(Catálogo!$E$5:$E$34,MATCH(E176,Catálogo!$C$5:$C$34,0))),""))</f>
        <v/>
      </c>
      <c r="P176" s="10" t="str">
        <f aca="false">IF(OR(H176="",O176=""),"",H176-O176)</f>
        <v/>
      </c>
      <c r="Q176" s="8"/>
      <c r="R176" s="6" t="str">
        <f aca="false">IF(J176="","",YEAR(J176))</f>
        <v/>
      </c>
      <c r="S176" s="6" t="str">
        <f aca="false">IF(J176="","",MONTH(J176))</f>
        <v/>
      </c>
    </row>
    <row r="177" customFormat="false" ht="15" hidden="false" customHeight="false" outlineLevel="0" collapsed="false">
      <c r="A177" s="6" t="str">
        <f aca="false">IF(C177="","",ROW()-5)</f>
        <v/>
      </c>
      <c r="B177" s="7"/>
      <c r="C177" s="8"/>
      <c r="D177" s="8"/>
      <c r="E177" s="8"/>
      <c r="F177" s="9"/>
      <c r="G177" s="10" t="str">
        <f aca="false">IF(E177="","",IFERROR(INDEX(Catálogo!$D$5:$D$34,MATCH(E177,Catálogo!$C$5:$C$34,0)),""))</f>
        <v/>
      </c>
      <c r="H177" s="10" t="str">
        <f aca="false">IF(OR(F177="",G177=""),"",F177*G177)</f>
        <v/>
      </c>
      <c r="I177" s="8"/>
      <c r="J177" s="7"/>
      <c r="K177" s="8"/>
      <c r="L177" s="8"/>
      <c r="M177" s="11"/>
      <c r="N177" s="10" t="str">
        <f aca="false">IF(H177="","",IF(K177="Cancelado",0,H177-M177))</f>
        <v/>
      </c>
      <c r="O177" s="10" t="str">
        <f aca="false">IF(OR(F177="",E177=""),"",IFERROR(IF(INDEX(Catálogo!$E$5:$E$34,MATCH(E177,Catálogo!$C$5:$C$34,0))=0,"",F177*INDEX(Catálogo!$E$5:$E$34,MATCH(E177,Catálogo!$C$5:$C$34,0))),""))</f>
        <v/>
      </c>
      <c r="P177" s="10" t="str">
        <f aca="false">IF(OR(H177="",O177=""),"",H177-O177)</f>
        <v/>
      </c>
      <c r="Q177" s="8"/>
      <c r="R177" s="6" t="str">
        <f aca="false">IF(J177="","",YEAR(J177))</f>
        <v/>
      </c>
      <c r="S177" s="6" t="str">
        <f aca="false">IF(J177="","",MONTH(J177))</f>
        <v/>
      </c>
    </row>
    <row r="178" customFormat="false" ht="15" hidden="false" customHeight="false" outlineLevel="0" collapsed="false">
      <c r="A178" s="6" t="str">
        <f aca="false">IF(C178="","",ROW()-5)</f>
        <v/>
      </c>
      <c r="B178" s="7"/>
      <c r="C178" s="8"/>
      <c r="D178" s="8"/>
      <c r="E178" s="8"/>
      <c r="F178" s="9"/>
      <c r="G178" s="10" t="str">
        <f aca="false">IF(E178="","",IFERROR(INDEX(Catálogo!$D$5:$D$34,MATCH(E178,Catálogo!$C$5:$C$34,0)),""))</f>
        <v/>
      </c>
      <c r="H178" s="10" t="str">
        <f aca="false">IF(OR(F178="",G178=""),"",F178*G178)</f>
        <v/>
      </c>
      <c r="I178" s="8"/>
      <c r="J178" s="7"/>
      <c r="K178" s="8"/>
      <c r="L178" s="8"/>
      <c r="M178" s="11"/>
      <c r="N178" s="10" t="str">
        <f aca="false">IF(H178="","",IF(K178="Cancelado",0,H178-M178))</f>
        <v/>
      </c>
      <c r="O178" s="10" t="str">
        <f aca="false">IF(OR(F178="",E178=""),"",IFERROR(IF(INDEX(Catálogo!$E$5:$E$34,MATCH(E178,Catálogo!$C$5:$C$34,0))=0,"",F178*INDEX(Catálogo!$E$5:$E$34,MATCH(E178,Catálogo!$C$5:$C$34,0))),""))</f>
        <v/>
      </c>
      <c r="P178" s="10" t="str">
        <f aca="false">IF(OR(H178="",O178=""),"",H178-O178)</f>
        <v/>
      </c>
      <c r="Q178" s="8"/>
      <c r="R178" s="6" t="str">
        <f aca="false">IF(J178="","",YEAR(J178))</f>
        <v/>
      </c>
      <c r="S178" s="6" t="str">
        <f aca="false">IF(J178="","",MONTH(J178))</f>
        <v/>
      </c>
    </row>
    <row r="179" customFormat="false" ht="15" hidden="false" customHeight="false" outlineLevel="0" collapsed="false">
      <c r="A179" s="6" t="str">
        <f aca="false">IF(C179="","",ROW()-5)</f>
        <v/>
      </c>
      <c r="B179" s="7"/>
      <c r="C179" s="8"/>
      <c r="D179" s="8"/>
      <c r="E179" s="8"/>
      <c r="F179" s="9"/>
      <c r="G179" s="10" t="str">
        <f aca="false">IF(E179="","",IFERROR(INDEX(Catálogo!$D$5:$D$34,MATCH(E179,Catálogo!$C$5:$C$34,0)),""))</f>
        <v/>
      </c>
      <c r="H179" s="10" t="str">
        <f aca="false">IF(OR(F179="",G179=""),"",F179*G179)</f>
        <v/>
      </c>
      <c r="I179" s="8"/>
      <c r="J179" s="7"/>
      <c r="K179" s="8"/>
      <c r="L179" s="8"/>
      <c r="M179" s="11"/>
      <c r="N179" s="10" t="str">
        <f aca="false">IF(H179="","",IF(K179="Cancelado",0,H179-M179))</f>
        <v/>
      </c>
      <c r="O179" s="10" t="str">
        <f aca="false">IF(OR(F179="",E179=""),"",IFERROR(IF(INDEX(Catálogo!$E$5:$E$34,MATCH(E179,Catálogo!$C$5:$C$34,0))=0,"",F179*INDEX(Catálogo!$E$5:$E$34,MATCH(E179,Catálogo!$C$5:$C$34,0))),""))</f>
        <v/>
      </c>
      <c r="P179" s="10" t="str">
        <f aca="false">IF(OR(H179="",O179=""),"",H179-O179)</f>
        <v/>
      </c>
      <c r="Q179" s="8"/>
      <c r="R179" s="6" t="str">
        <f aca="false">IF(J179="","",YEAR(J179))</f>
        <v/>
      </c>
      <c r="S179" s="6" t="str">
        <f aca="false">IF(J179="","",MONTH(J179))</f>
        <v/>
      </c>
    </row>
    <row r="180" customFormat="false" ht="15" hidden="false" customHeight="false" outlineLevel="0" collapsed="false">
      <c r="A180" s="6" t="str">
        <f aca="false">IF(C180="","",ROW()-5)</f>
        <v/>
      </c>
      <c r="B180" s="7"/>
      <c r="C180" s="8"/>
      <c r="D180" s="8"/>
      <c r="E180" s="8"/>
      <c r="F180" s="9"/>
      <c r="G180" s="10" t="str">
        <f aca="false">IF(E180="","",IFERROR(INDEX(Catálogo!$D$5:$D$34,MATCH(E180,Catálogo!$C$5:$C$34,0)),""))</f>
        <v/>
      </c>
      <c r="H180" s="10" t="str">
        <f aca="false">IF(OR(F180="",G180=""),"",F180*G180)</f>
        <v/>
      </c>
      <c r="I180" s="8"/>
      <c r="J180" s="7"/>
      <c r="K180" s="8"/>
      <c r="L180" s="8"/>
      <c r="M180" s="11"/>
      <c r="N180" s="10" t="str">
        <f aca="false">IF(H180="","",IF(K180="Cancelado",0,H180-M180))</f>
        <v/>
      </c>
      <c r="O180" s="10" t="str">
        <f aca="false">IF(OR(F180="",E180=""),"",IFERROR(IF(INDEX(Catálogo!$E$5:$E$34,MATCH(E180,Catálogo!$C$5:$C$34,0))=0,"",F180*INDEX(Catálogo!$E$5:$E$34,MATCH(E180,Catálogo!$C$5:$C$34,0))),""))</f>
        <v/>
      </c>
      <c r="P180" s="10" t="str">
        <f aca="false">IF(OR(H180="",O180=""),"",H180-O180)</f>
        <v/>
      </c>
      <c r="Q180" s="8"/>
      <c r="R180" s="6" t="str">
        <f aca="false">IF(J180="","",YEAR(J180))</f>
        <v/>
      </c>
      <c r="S180" s="6" t="str">
        <f aca="false">IF(J180="","",MONTH(J180))</f>
        <v/>
      </c>
    </row>
    <row r="181" customFormat="false" ht="15" hidden="false" customHeight="false" outlineLevel="0" collapsed="false">
      <c r="A181" s="6" t="str">
        <f aca="false">IF(C181="","",ROW()-5)</f>
        <v/>
      </c>
      <c r="B181" s="7"/>
      <c r="C181" s="8"/>
      <c r="D181" s="8"/>
      <c r="E181" s="8"/>
      <c r="F181" s="9"/>
      <c r="G181" s="10" t="str">
        <f aca="false">IF(E181="","",IFERROR(INDEX(Catálogo!$D$5:$D$34,MATCH(E181,Catálogo!$C$5:$C$34,0)),""))</f>
        <v/>
      </c>
      <c r="H181" s="10" t="str">
        <f aca="false">IF(OR(F181="",G181=""),"",F181*G181)</f>
        <v/>
      </c>
      <c r="I181" s="8"/>
      <c r="J181" s="7"/>
      <c r="K181" s="8"/>
      <c r="L181" s="8"/>
      <c r="M181" s="11"/>
      <c r="N181" s="10" t="str">
        <f aca="false">IF(H181="","",IF(K181="Cancelado",0,H181-M181))</f>
        <v/>
      </c>
      <c r="O181" s="10" t="str">
        <f aca="false">IF(OR(F181="",E181=""),"",IFERROR(IF(INDEX(Catálogo!$E$5:$E$34,MATCH(E181,Catálogo!$C$5:$C$34,0))=0,"",F181*INDEX(Catálogo!$E$5:$E$34,MATCH(E181,Catálogo!$C$5:$C$34,0))),""))</f>
        <v/>
      </c>
      <c r="P181" s="10" t="str">
        <f aca="false">IF(OR(H181="",O181=""),"",H181-O181)</f>
        <v/>
      </c>
      <c r="Q181" s="8"/>
      <c r="R181" s="6" t="str">
        <f aca="false">IF(J181="","",YEAR(J181))</f>
        <v/>
      </c>
      <c r="S181" s="6" t="str">
        <f aca="false">IF(J181="","",MONTH(J181))</f>
        <v/>
      </c>
    </row>
    <row r="182" customFormat="false" ht="15" hidden="false" customHeight="false" outlineLevel="0" collapsed="false">
      <c r="A182" s="6" t="str">
        <f aca="false">IF(C182="","",ROW()-5)</f>
        <v/>
      </c>
      <c r="B182" s="7"/>
      <c r="C182" s="8"/>
      <c r="D182" s="8"/>
      <c r="E182" s="8"/>
      <c r="F182" s="9"/>
      <c r="G182" s="10" t="str">
        <f aca="false">IF(E182="","",IFERROR(INDEX(Catálogo!$D$5:$D$34,MATCH(E182,Catálogo!$C$5:$C$34,0)),""))</f>
        <v/>
      </c>
      <c r="H182" s="10" t="str">
        <f aca="false">IF(OR(F182="",G182=""),"",F182*G182)</f>
        <v/>
      </c>
      <c r="I182" s="8"/>
      <c r="J182" s="7"/>
      <c r="K182" s="8"/>
      <c r="L182" s="8"/>
      <c r="M182" s="11"/>
      <c r="N182" s="10" t="str">
        <f aca="false">IF(H182="","",IF(K182="Cancelado",0,H182-M182))</f>
        <v/>
      </c>
      <c r="O182" s="10" t="str">
        <f aca="false">IF(OR(F182="",E182=""),"",IFERROR(IF(INDEX(Catálogo!$E$5:$E$34,MATCH(E182,Catálogo!$C$5:$C$34,0))=0,"",F182*INDEX(Catálogo!$E$5:$E$34,MATCH(E182,Catálogo!$C$5:$C$34,0))),""))</f>
        <v/>
      </c>
      <c r="P182" s="10" t="str">
        <f aca="false">IF(OR(H182="",O182=""),"",H182-O182)</f>
        <v/>
      </c>
      <c r="Q182" s="8"/>
      <c r="R182" s="6" t="str">
        <f aca="false">IF(J182="","",YEAR(J182))</f>
        <v/>
      </c>
      <c r="S182" s="6" t="str">
        <f aca="false">IF(J182="","",MONTH(J182))</f>
        <v/>
      </c>
    </row>
    <row r="183" customFormat="false" ht="15" hidden="false" customHeight="false" outlineLevel="0" collapsed="false">
      <c r="A183" s="6" t="str">
        <f aca="false">IF(C183="","",ROW()-5)</f>
        <v/>
      </c>
      <c r="B183" s="7"/>
      <c r="C183" s="8"/>
      <c r="D183" s="8"/>
      <c r="E183" s="8"/>
      <c r="F183" s="9"/>
      <c r="G183" s="10" t="str">
        <f aca="false">IF(E183="","",IFERROR(INDEX(Catálogo!$D$5:$D$34,MATCH(E183,Catálogo!$C$5:$C$34,0)),""))</f>
        <v/>
      </c>
      <c r="H183" s="10" t="str">
        <f aca="false">IF(OR(F183="",G183=""),"",F183*G183)</f>
        <v/>
      </c>
      <c r="I183" s="8"/>
      <c r="J183" s="7"/>
      <c r="K183" s="8"/>
      <c r="L183" s="8"/>
      <c r="M183" s="11"/>
      <c r="N183" s="10" t="str">
        <f aca="false">IF(H183="","",IF(K183="Cancelado",0,H183-M183))</f>
        <v/>
      </c>
      <c r="O183" s="10" t="str">
        <f aca="false">IF(OR(F183="",E183=""),"",IFERROR(IF(INDEX(Catálogo!$E$5:$E$34,MATCH(E183,Catálogo!$C$5:$C$34,0))=0,"",F183*INDEX(Catálogo!$E$5:$E$34,MATCH(E183,Catálogo!$C$5:$C$34,0))),""))</f>
        <v/>
      </c>
      <c r="P183" s="10" t="str">
        <f aca="false">IF(OR(H183="",O183=""),"",H183-O183)</f>
        <v/>
      </c>
      <c r="Q183" s="8"/>
      <c r="R183" s="6" t="str">
        <f aca="false">IF(J183="","",YEAR(J183))</f>
        <v/>
      </c>
      <c r="S183" s="6" t="str">
        <f aca="false">IF(J183="","",MONTH(J183))</f>
        <v/>
      </c>
    </row>
    <row r="184" customFormat="false" ht="15" hidden="false" customHeight="false" outlineLevel="0" collapsed="false">
      <c r="A184" s="6" t="str">
        <f aca="false">IF(C184="","",ROW()-5)</f>
        <v/>
      </c>
      <c r="B184" s="7"/>
      <c r="C184" s="8"/>
      <c r="D184" s="8"/>
      <c r="E184" s="8"/>
      <c r="F184" s="9"/>
      <c r="G184" s="10" t="str">
        <f aca="false">IF(E184="","",IFERROR(INDEX(Catálogo!$D$5:$D$34,MATCH(E184,Catálogo!$C$5:$C$34,0)),""))</f>
        <v/>
      </c>
      <c r="H184" s="10" t="str">
        <f aca="false">IF(OR(F184="",G184=""),"",F184*G184)</f>
        <v/>
      </c>
      <c r="I184" s="8"/>
      <c r="J184" s="7"/>
      <c r="K184" s="8"/>
      <c r="L184" s="8"/>
      <c r="M184" s="11"/>
      <c r="N184" s="10" t="str">
        <f aca="false">IF(H184="","",IF(K184="Cancelado",0,H184-M184))</f>
        <v/>
      </c>
      <c r="O184" s="10" t="str">
        <f aca="false">IF(OR(F184="",E184=""),"",IFERROR(IF(INDEX(Catálogo!$E$5:$E$34,MATCH(E184,Catálogo!$C$5:$C$34,0))=0,"",F184*INDEX(Catálogo!$E$5:$E$34,MATCH(E184,Catálogo!$C$5:$C$34,0))),""))</f>
        <v/>
      </c>
      <c r="P184" s="10" t="str">
        <f aca="false">IF(OR(H184="",O184=""),"",H184-O184)</f>
        <v/>
      </c>
      <c r="Q184" s="8"/>
      <c r="R184" s="6" t="str">
        <f aca="false">IF(J184="","",YEAR(J184))</f>
        <v/>
      </c>
      <c r="S184" s="6" t="str">
        <f aca="false">IF(J184="","",MONTH(J184))</f>
        <v/>
      </c>
    </row>
    <row r="185" customFormat="false" ht="15" hidden="false" customHeight="false" outlineLevel="0" collapsed="false">
      <c r="A185" s="6" t="str">
        <f aca="false">IF(C185="","",ROW()-5)</f>
        <v/>
      </c>
      <c r="B185" s="7"/>
      <c r="C185" s="8"/>
      <c r="D185" s="8"/>
      <c r="E185" s="8"/>
      <c r="F185" s="9"/>
      <c r="G185" s="10" t="str">
        <f aca="false">IF(E185="","",IFERROR(INDEX(Catálogo!$D$5:$D$34,MATCH(E185,Catálogo!$C$5:$C$34,0)),""))</f>
        <v/>
      </c>
      <c r="H185" s="10" t="str">
        <f aca="false">IF(OR(F185="",G185=""),"",F185*G185)</f>
        <v/>
      </c>
      <c r="I185" s="8"/>
      <c r="J185" s="7"/>
      <c r="K185" s="8"/>
      <c r="L185" s="8"/>
      <c r="M185" s="11"/>
      <c r="N185" s="10" t="str">
        <f aca="false">IF(H185="","",IF(K185="Cancelado",0,H185-M185))</f>
        <v/>
      </c>
      <c r="O185" s="10" t="str">
        <f aca="false">IF(OR(F185="",E185=""),"",IFERROR(IF(INDEX(Catálogo!$E$5:$E$34,MATCH(E185,Catálogo!$C$5:$C$34,0))=0,"",F185*INDEX(Catálogo!$E$5:$E$34,MATCH(E185,Catálogo!$C$5:$C$34,0))),""))</f>
        <v/>
      </c>
      <c r="P185" s="10" t="str">
        <f aca="false">IF(OR(H185="",O185=""),"",H185-O185)</f>
        <v/>
      </c>
      <c r="Q185" s="8"/>
      <c r="R185" s="6" t="str">
        <f aca="false">IF(J185="","",YEAR(J185))</f>
        <v/>
      </c>
      <c r="S185" s="6" t="str">
        <f aca="false">IF(J185="","",MONTH(J185))</f>
        <v/>
      </c>
    </row>
    <row r="186" customFormat="false" ht="15" hidden="false" customHeight="false" outlineLevel="0" collapsed="false">
      <c r="A186" s="6" t="str">
        <f aca="false">IF(C186="","",ROW()-5)</f>
        <v/>
      </c>
      <c r="B186" s="7"/>
      <c r="C186" s="8"/>
      <c r="D186" s="8"/>
      <c r="E186" s="8"/>
      <c r="F186" s="9"/>
      <c r="G186" s="10" t="str">
        <f aca="false">IF(E186="","",IFERROR(INDEX(Catálogo!$D$5:$D$34,MATCH(E186,Catálogo!$C$5:$C$34,0)),""))</f>
        <v/>
      </c>
      <c r="H186" s="10" t="str">
        <f aca="false">IF(OR(F186="",G186=""),"",F186*G186)</f>
        <v/>
      </c>
      <c r="I186" s="8"/>
      <c r="J186" s="7"/>
      <c r="K186" s="8"/>
      <c r="L186" s="8"/>
      <c r="M186" s="11"/>
      <c r="N186" s="10" t="str">
        <f aca="false">IF(H186="","",IF(K186="Cancelado",0,H186-M186))</f>
        <v/>
      </c>
      <c r="O186" s="10" t="str">
        <f aca="false">IF(OR(F186="",E186=""),"",IFERROR(IF(INDEX(Catálogo!$E$5:$E$34,MATCH(E186,Catálogo!$C$5:$C$34,0))=0,"",F186*INDEX(Catálogo!$E$5:$E$34,MATCH(E186,Catálogo!$C$5:$C$34,0))),""))</f>
        <v/>
      </c>
      <c r="P186" s="10" t="str">
        <f aca="false">IF(OR(H186="",O186=""),"",H186-O186)</f>
        <v/>
      </c>
      <c r="Q186" s="8"/>
      <c r="R186" s="6" t="str">
        <f aca="false">IF(J186="","",YEAR(J186))</f>
        <v/>
      </c>
      <c r="S186" s="6" t="str">
        <f aca="false">IF(J186="","",MONTH(J186))</f>
        <v/>
      </c>
    </row>
    <row r="187" customFormat="false" ht="15" hidden="false" customHeight="false" outlineLevel="0" collapsed="false">
      <c r="A187" s="6" t="str">
        <f aca="false">IF(C187="","",ROW()-5)</f>
        <v/>
      </c>
      <c r="B187" s="7"/>
      <c r="C187" s="8"/>
      <c r="D187" s="8"/>
      <c r="E187" s="8"/>
      <c r="F187" s="9"/>
      <c r="G187" s="10" t="str">
        <f aca="false">IF(E187="","",IFERROR(INDEX(Catálogo!$D$5:$D$34,MATCH(E187,Catálogo!$C$5:$C$34,0)),""))</f>
        <v/>
      </c>
      <c r="H187" s="10" t="str">
        <f aca="false">IF(OR(F187="",G187=""),"",F187*G187)</f>
        <v/>
      </c>
      <c r="I187" s="8"/>
      <c r="J187" s="7"/>
      <c r="K187" s="8"/>
      <c r="L187" s="8"/>
      <c r="M187" s="11"/>
      <c r="N187" s="10" t="str">
        <f aca="false">IF(H187="","",IF(K187="Cancelado",0,H187-M187))</f>
        <v/>
      </c>
      <c r="O187" s="10" t="str">
        <f aca="false">IF(OR(F187="",E187=""),"",IFERROR(IF(INDEX(Catálogo!$E$5:$E$34,MATCH(E187,Catálogo!$C$5:$C$34,0))=0,"",F187*INDEX(Catálogo!$E$5:$E$34,MATCH(E187,Catálogo!$C$5:$C$34,0))),""))</f>
        <v/>
      </c>
      <c r="P187" s="10" t="str">
        <f aca="false">IF(OR(H187="",O187=""),"",H187-O187)</f>
        <v/>
      </c>
      <c r="Q187" s="8"/>
      <c r="R187" s="6" t="str">
        <f aca="false">IF(J187="","",YEAR(J187))</f>
        <v/>
      </c>
      <c r="S187" s="6" t="str">
        <f aca="false">IF(J187="","",MONTH(J187))</f>
        <v/>
      </c>
    </row>
    <row r="188" customFormat="false" ht="15" hidden="false" customHeight="false" outlineLevel="0" collapsed="false">
      <c r="A188" s="6" t="str">
        <f aca="false">IF(C188="","",ROW()-5)</f>
        <v/>
      </c>
      <c r="B188" s="7"/>
      <c r="C188" s="8"/>
      <c r="D188" s="8"/>
      <c r="E188" s="8"/>
      <c r="F188" s="9"/>
      <c r="G188" s="10" t="str">
        <f aca="false">IF(E188="","",IFERROR(INDEX(Catálogo!$D$5:$D$34,MATCH(E188,Catálogo!$C$5:$C$34,0)),""))</f>
        <v/>
      </c>
      <c r="H188" s="10" t="str">
        <f aca="false">IF(OR(F188="",G188=""),"",F188*G188)</f>
        <v/>
      </c>
      <c r="I188" s="8"/>
      <c r="J188" s="7"/>
      <c r="K188" s="8"/>
      <c r="L188" s="8"/>
      <c r="M188" s="11"/>
      <c r="N188" s="10" t="str">
        <f aca="false">IF(H188="","",IF(K188="Cancelado",0,H188-M188))</f>
        <v/>
      </c>
      <c r="O188" s="10" t="str">
        <f aca="false">IF(OR(F188="",E188=""),"",IFERROR(IF(INDEX(Catálogo!$E$5:$E$34,MATCH(E188,Catálogo!$C$5:$C$34,0))=0,"",F188*INDEX(Catálogo!$E$5:$E$34,MATCH(E188,Catálogo!$C$5:$C$34,0))),""))</f>
        <v/>
      </c>
      <c r="P188" s="10" t="str">
        <f aca="false">IF(OR(H188="",O188=""),"",H188-O188)</f>
        <v/>
      </c>
      <c r="Q188" s="8"/>
      <c r="R188" s="6" t="str">
        <f aca="false">IF(J188="","",YEAR(J188))</f>
        <v/>
      </c>
      <c r="S188" s="6" t="str">
        <f aca="false">IF(J188="","",MONTH(J188))</f>
        <v/>
      </c>
    </row>
    <row r="189" customFormat="false" ht="15" hidden="false" customHeight="false" outlineLevel="0" collapsed="false">
      <c r="A189" s="6" t="str">
        <f aca="false">IF(C189="","",ROW()-5)</f>
        <v/>
      </c>
      <c r="B189" s="7"/>
      <c r="C189" s="8"/>
      <c r="D189" s="8"/>
      <c r="E189" s="8"/>
      <c r="F189" s="9"/>
      <c r="G189" s="10" t="str">
        <f aca="false">IF(E189="","",IFERROR(INDEX(Catálogo!$D$5:$D$34,MATCH(E189,Catálogo!$C$5:$C$34,0)),""))</f>
        <v/>
      </c>
      <c r="H189" s="10" t="str">
        <f aca="false">IF(OR(F189="",G189=""),"",F189*G189)</f>
        <v/>
      </c>
      <c r="I189" s="8"/>
      <c r="J189" s="7"/>
      <c r="K189" s="8"/>
      <c r="L189" s="8"/>
      <c r="M189" s="11"/>
      <c r="N189" s="10" t="str">
        <f aca="false">IF(H189="","",IF(K189="Cancelado",0,H189-M189))</f>
        <v/>
      </c>
      <c r="O189" s="10" t="str">
        <f aca="false">IF(OR(F189="",E189=""),"",IFERROR(IF(INDEX(Catálogo!$E$5:$E$34,MATCH(E189,Catálogo!$C$5:$C$34,0))=0,"",F189*INDEX(Catálogo!$E$5:$E$34,MATCH(E189,Catálogo!$C$5:$C$34,0))),""))</f>
        <v/>
      </c>
      <c r="P189" s="10" t="str">
        <f aca="false">IF(OR(H189="",O189=""),"",H189-O189)</f>
        <v/>
      </c>
      <c r="Q189" s="8"/>
      <c r="R189" s="6" t="str">
        <f aca="false">IF(J189="","",YEAR(J189))</f>
        <v/>
      </c>
      <c r="S189" s="6" t="str">
        <f aca="false">IF(J189="","",MONTH(J189))</f>
        <v/>
      </c>
    </row>
    <row r="190" customFormat="false" ht="15" hidden="false" customHeight="false" outlineLevel="0" collapsed="false">
      <c r="A190" s="6" t="str">
        <f aca="false">IF(C190="","",ROW()-5)</f>
        <v/>
      </c>
      <c r="B190" s="7"/>
      <c r="C190" s="8"/>
      <c r="D190" s="8"/>
      <c r="E190" s="8"/>
      <c r="F190" s="9"/>
      <c r="G190" s="10" t="str">
        <f aca="false">IF(E190="","",IFERROR(INDEX(Catálogo!$D$5:$D$34,MATCH(E190,Catálogo!$C$5:$C$34,0)),""))</f>
        <v/>
      </c>
      <c r="H190" s="10" t="str">
        <f aca="false">IF(OR(F190="",G190=""),"",F190*G190)</f>
        <v/>
      </c>
      <c r="I190" s="8"/>
      <c r="J190" s="7"/>
      <c r="K190" s="8"/>
      <c r="L190" s="8"/>
      <c r="M190" s="11"/>
      <c r="N190" s="10" t="str">
        <f aca="false">IF(H190="","",IF(K190="Cancelado",0,H190-M190))</f>
        <v/>
      </c>
      <c r="O190" s="10" t="str">
        <f aca="false">IF(OR(F190="",E190=""),"",IFERROR(IF(INDEX(Catálogo!$E$5:$E$34,MATCH(E190,Catálogo!$C$5:$C$34,0))=0,"",F190*INDEX(Catálogo!$E$5:$E$34,MATCH(E190,Catálogo!$C$5:$C$34,0))),""))</f>
        <v/>
      </c>
      <c r="P190" s="10" t="str">
        <f aca="false">IF(OR(H190="",O190=""),"",H190-O190)</f>
        <v/>
      </c>
      <c r="Q190" s="8"/>
      <c r="R190" s="6" t="str">
        <f aca="false">IF(J190="","",YEAR(J190))</f>
        <v/>
      </c>
      <c r="S190" s="6" t="str">
        <f aca="false">IF(J190="","",MONTH(J190))</f>
        <v/>
      </c>
    </row>
    <row r="191" customFormat="false" ht="15" hidden="false" customHeight="false" outlineLevel="0" collapsed="false">
      <c r="A191" s="6" t="str">
        <f aca="false">IF(C191="","",ROW()-5)</f>
        <v/>
      </c>
      <c r="B191" s="7"/>
      <c r="C191" s="8"/>
      <c r="D191" s="8"/>
      <c r="E191" s="8"/>
      <c r="F191" s="9"/>
      <c r="G191" s="10" t="str">
        <f aca="false">IF(E191="","",IFERROR(INDEX(Catálogo!$D$5:$D$34,MATCH(E191,Catálogo!$C$5:$C$34,0)),""))</f>
        <v/>
      </c>
      <c r="H191" s="10" t="str">
        <f aca="false">IF(OR(F191="",G191=""),"",F191*G191)</f>
        <v/>
      </c>
      <c r="I191" s="8"/>
      <c r="J191" s="7"/>
      <c r="K191" s="8"/>
      <c r="L191" s="8"/>
      <c r="M191" s="11"/>
      <c r="N191" s="10" t="str">
        <f aca="false">IF(H191="","",IF(K191="Cancelado",0,H191-M191))</f>
        <v/>
      </c>
      <c r="O191" s="10" t="str">
        <f aca="false">IF(OR(F191="",E191=""),"",IFERROR(IF(INDEX(Catálogo!$E$5:$E$34,MATCH(E191,Catálogo!$C$5:$C$34,0))=0,"",F191*INDEX(Catálogo!$E$5:$E$34,MATCH(E191,Catálogo!$C$5:$C$34,0))),""))</f>
        <v/>
      </c>
      <c r="P191" s="10" t="str">
        <f aca="false">IF(OR(H191="",O191=""),"",H191-O191)</f>
        <v/>
      </c>
      <c r="Q191" s="8"/>
      <c r="R191" s="6" t="str">
        <f aca="false">IF(J191="","",YEAR(J191))</f>
        <v/>
      </c>
      <c r="S191" s="6" t="str">
        <f aca="false">IF(J191="","",MONTH(J191))</f>
        <v/>
      </c>
    </row>
    <row r="192" customFormat="false" ht="15" hidden="false" customHeight="false" outlineLevel="0" collapsed="false">
      <c r="A192" s="6" t="str">
        <f aca="false">IF(C192="","",ROW()-5)</f>
        <v/>
      </c>
      <c r="B192" s="7"/>
      <c r="C192" s="8"/>
      <c r="D192" s="8"/>
      <c r="E192" s="8"/>
      <c r="F192" s="9"/>
      <c r="G192" s="10" t="str">
        <f aca="false">IF(E192="","",IFERROR(INDEX(Catálogo!$D$5:$D$34,MATCH(E192,Catálogo!$C$5:$C$34,0)),""))</f>
        <v/>
      </c>
      <c r="H192" s="10" t="str">
        <f aca="false">IF(OR(F192="",G192=""),"",F192*G192)</f>
        <v/>
      </c>
      <c r="I192" s="8"/>
      <c r="J192" s="7"/>
      <c r="K192" s="8"/>
      <c r="L192" s="8"/>
      <c r="M192" s="11"/>
      <c r="N192" s="10" t="str">
        <f aca="false">IF(H192="","",IF(K192="Cancelado",0,H192-M192))</f>
        <v/>
      </c>
      <c r="O192" s="10" t="str">
        <f aca="false">IF(OR(F192="",E192=""),"",IFERROR(IF(INDEX(Catálogo!$E$5:$E$34,MATCH(E192,Catálogo!$C$5:$C$34,0))=0,"",F192*INDEX(Catálogo!$E$5:$E$34,MATCH(E192,Catálogo!$C$5:$C$34,0))),""))</f>
        <v/>
      </c>
      <c r="P192" s="10" t="str">
        <f aca="false">IF(OR(H192="",O192=""),"",H192-O192)</f>
        <v/>
      </c>
      <c r="Q192" s="8"/>
      <c r="R192" s="6" t="str">
        <f aca="false">IF(J192="","",YEAR(J192))</f>
        <v/>
      </c>
      <c r="S192" s="6" t="str">
        <f aca="false">IF(J192="","",MONTH(J192))</f>
        <v/>
      </c>
    </row>
    <row r="193" customFormat="false" ht="15" hidden="false" customHeight="false" outlineLevel="0" collapsed="false">
      <c r="A193" s="6" t="str">
        <f aca="false">IF(C193="","",ROW()-5)</f>
        <v/>
      </c>
      <c r="B193" s="7"/>
      <c r="C193" s="8"/>
      <c r="D193" s="8"/>
      <c r="E193" s="8"/>
      <c r="F193" s="9"/>
      <c r="G193" s="10" t="str">
        <f aca="false">IF(E193="","",IFERROR(INDEX(Catálogo!$D$5:$D$34,MATCH(E193,Catálogo!$C$5:$C$34,0)),""))</f>
        <v/>
      </c>
      <c r="H193" s="10" t="str">
        <f aca="false">IF(OR(F193="",G193=""),"",F193*G193)</f>
        <v/>
      </c>
      <c r="I193" s="8"/>
      <c r="J193" s="7"/>
      <c r="K193" s="8"/>
      <c r="L193" s="8"/>
      <c r="M193" s="11"/>
      <c r="N193" s="10" t="str">
        <f aca="false">IF(H193="","",IF(K193="Cancelado",0,H193-M193))</f>
        <v/>
      </c>
      <c r="O193" s="10" t="str">
        <f aca="false">IF(OR(F193="",E193=""),"",IFERROR(IF(INDEX(Catálogo!$E$5:$E$34,MATCH(E193,Catálogo!$C$5:$C$34,0))=0,"",F193*INDEX(Catálogo!$E$5:$E$34,MATCH(E193,Catálogo!$C$5:$C$34,0))),""))</f>
        <v/>
      </c>
      <c r="P193" s="10" t="str">
        <f aca="false">IF(OR(H193="",O193=""),"",H193-O193)</f>
        <v/>
      </c>
      <c r="Q193" s="8"/>
      <c r="R193" s="6" t="str">
        <f aca="false">IF(J193="","",YEAR(J193))</f>
        <v/>
      </c>
      <c r="S193" s="6" t="str">
        <f aca="false">IF(J193="","",MONTH(J193))</f>
        <v/>
      </c>
    </row>
    <row r="194" customFormat="false" ht="15" hidden="false" customHeight="false" outlineLevel="0" collapsed="false">
      <c r="A194" s="6" t="str">
        <f aca="false">IF(C194="","",ROW()-5)</f>
        <v/>
      </c>
      <c r="B194" s="7"/>
      <c r="C194" s="8"/>
      <c r="D194" s="8"/>
      <c r="E194" s="8"/>
      <c r="F194" s="9"/>
      <c r="G194" s="10" t="str">
        <f aca="false">IF(E194="","",IFERROR(INDEX(Catálogo!$D$5:$D$34,MATCH(E194,Catálogo!$C$5:$C$34,0)),""))</f>
        <v/>
      </c>
      <c r="H194" s="10" t="str">
        <f aca="false">IF(OR(F194="",G194=""),"",F194*G194)</f>
        <v/>
      </c>
      <c r="I194" s="8"/>
      <c r="J194" s="7"/>
      <c r="K194" s="8"/>
      <c r="L194" s="8"/>
      <c r="M194" s="11"/>
      <c r="N194" s="10" t="str">
        <f aca="false">IF(H194="","",IF(K194="Cancelado",0,H194-M194))</f>
        <v/>
      </c>
      <c r="O194" s="10" t="str">
        <f aca="false">IF(OR(F194="",E194=""),"",IFERROR(IF(INDEX(Catálogo!$E$5:$E$34,MATCH(E194,Catálogo!$C$5:$C$34,0))=0,"",F194*INDEX(Catálogo!$E$5:$E$34,MATCH(E194,Catálogo!$C$5:$C$34,0))),""))</f>
        <v/>
      </c>
      <c r="P194" s="10" t="str">
        <f aca="false">IF(OR(H194="",O194=""),"",H194-O194)</f>
        <v/>
      </c>
      <c r="Q194" s="8"/>
      <c r="R194" s="6" t="str">
        <f aca="false">IF(J194="","",YEAR(J194))</f>
        <v/>
      </c>
      <c r="S194" s="6" t="str">
        <f aca="false">IF(J194="","",MONTH(J194))</f>
        <v/>
      </c>
    </row>
    <row r="195" customFormat="false" ht="15" hidden="false" customHeight="false" outlineLevel="0" collapsed="false">
      <c r="A195" s="6" t="str">
        <f aca="false">IF(C195="","",ROW()-5)</f>
        <v/>
      </c>
      <c r="B195" s="7"/>
      <c r="C195" s="8"/>
      <c r="D195" s="8"/>
      <c r="E195" s="8"/>
      <c r="F195" s="9"/>
      <c r="G195" s="10" t="str">
        <f aca="false">IF(E195="","",IFERROR(INDEX(Catálogo!$D$5:$D$34,MATCH(E195,Catálogo!$C$5:$C$34,0)),""))</f>
        <v/>
      </c>
      <c r="H195" s="10" t="str">
        <f aca="false">IF(OR(F195="",G195=""),"",F195*G195)</f>
        <v/>
      </c>
      <c r="I195" s="8"/>
      <c r="J195" s="7"/>
      <c r="K195" s="8"/>
      <c r="L195" s="8"/>
      <c r="M195" s="11"/>
      <c r="N195" s="10" t="str">
        <f aca="false">IF(H195="","",IF(K195="Cancelado",0,H195-M195))</f>
        <v/>
      </c>
      <c r="O195" s="10" t="str">
        <f aca="false">IF(OR(F195="",E195=""),"",IFERROR(IF(INDEX(Catálogo!$E$5:$E$34,MATCH(E195,Catálogo!$C$5:$C$34,0))=0,"",F195*INDEX(Catálogo!$E$5:$E$34,MATCH(E195,Catálogo!$C$5:$C$34,0))),""))</f>
        <v/>
      </c>
      <c r="P195" s="10" t="str">
        <f aca="false">IF(OR(H195="",O195=""),"",H195-O195)</f>
        <v/>
      </c>
      <c r="Q195" s="8"/>
      <c r="R195" s="6" t="str">
        <f aca="false">IF(J195="","",YEAR(J195))</f>
        <v/>
      </c>
      <c r="S195" s="6" t="str">
        <f aca="false">IF(J195="","",MONTH(J195))</f>
        <v/>
      </c>
    </row>
    <row r="196" customFormat="false" ht="15" hidden="false" customHeight="false" outlineLevel="0" collapsed="false">
      <c r="A196" s="6" t="str">
        <f aca="false">IF(C196="","",ROW()-5)</f>
        <v/>
      </c>
      <c r="B196" s="7"/>
      <c r="C196" s="8"/>
      <c r="D196" s="8"/>
      <c r="E196" s="8"/>
      <c r="F196" s="9"/>
      <c r="G196" s="10" t="str">
        <f aca="false">IF(E196="","",IFERROR(INDEX(Catálogo!$D$5:$D$34,MATCH(E196,Catálogo!$C$5:$C$34,0)),""))</f>
        <v/>
      </c>
      <c r="H196" s="10" t="str">
        <f aca="false">IF(OR(F196="",G196=""),"",F196*G196)</f>
        <v/>
      </c>
      <c r="I196" s="8"/>
      <c r="J196" s="7"/>
      <c r="K196" s="8"/>
      <c r="L196" s="8"/>
      <c r="M196" s="11"/>
      <c r="N196" s="10" t="str">
        <f aca="false">IF(H196="","",IF(K196="Cancelado",0,H196-M196))</f>
        <v/>
      </c>
      <c r="O196" s="10" t="str">
        <f aca="false">IF(OR(F196="",E196=""),"",IFERROR(IF(INDEX(Catálogo!$E$5:$E$34,MATCH(E196,Catálogo!$C$5:$C$34,0))=0,"",F196*INDEX(Catálogo!$E$5:$E$34,MATCH(E196,Catálogo!$C$5:$C$34,0))),""))</f>
        <v/>
      </c>
      <c r="P196" s="10" t="str">
        <f aca="false">IF(OR(H196="",O196=""),"",H196-O196)</f>
        <v/>
      </c>
      <c r="Q196" s="8"/>
      <c r="R196" s="6" t="str">
        <f aca="false">IF(J196="","",YEAR(J196))</f>
        <v/>
      </c>
      <c r="S196" s="6" t="str">
        <f aca="false">IF(J196="","",MONTH(J196))</f>
        <v/>
      </c>
    </row>
    <row r="197" customFormat="false" ht="15" hidden="false" customHeight="false" outlineLevel="0" collapsed="false">
      <c r="A197" s="6" t="str">
        <f aca="false">IF(C197="","",ROW()-5)</f>
        <v/>
      </c>
      <c r="B197" s="7"/>
      <c r="C197" s="8"/>
      <c r="D197" s="8"/>
      <c r="E197" s="8"/>
      <c r="F197" s="9"/>
      <c r="G197" s="10" t="str">
        <f aca="false">IF(E197="","",IFERROR(INDEX(Catálogo!$D$5:$D$34,MATCH(E197,Catálogo!$C$5:$C$34,0)),""))</f>
        <v/>
      </c>
      <c r="H197" s="10" t="str">
        <f aca="false">IF(OR(F197="",G197=""),"",F197*G197)</f>
        <v/>
      </c>
      <c r="I197" s="8"/>
      <c r="J197" s="7"/>
      <c r="K197" s="8"/>
      <c r="L197" s="8"/>
      <c r="M197" s="11"/>
      <c r="N197" s="10" t="str">
        <f aca="false">IF(H197="","",IF(K197="Cancelado",0,H197-M197))</f>
        <v/>
      </c>
      <c r="O197" s="10" t="str">
        <f aca="false">IF(OR(F197="",E197=""),"",IFERROR(IF(INDEX(Catálogo!$E$5:$E$34,MATCH(E197,Catálogo!$C$5:$C$34,0))=0,"",F197*INDEX(Catálogo!$E$5:$E$34,MATCH(E197,Catálogo!$C$5:$C$34,0))),""))</f>
        <v/>
      </c>
      <c r="P197" s="10" t="str">
        <f aca="false">IF(OR(H197="",O197=""),"",H197-O197)</f>
        <v/>
      </c>
      <c r="Q197" s="8"/>
      <c r="R197" s="6" t="str">
        <f aca="false">IF(J197="","",YEAR(J197))</f>
        <v/>
      </c>
      <c r="S197" s="6" t="str">
        <f aca="false">IF(J197="","",MONTH(J197))</f>
        <v/>
      </c>
    </row>
    <row r="198" customFormat="false" ht="15" hidden="false" customHeight="false" outlineLevel="0" collapsed="false">
      <c r="A198" s="6" t="str">
        <f aca="false">IF(C198="","",ROW()-5)</f>
        <v/>
      </c>
      <c r="B198" s="7"/>
      <c r="C198" s="8"/>
      <c r="D198" s="8"/>
      <c r="E198" s="8"/>
      <c r="F198" s="9"/>
      <c r="G198" s="10" t="str">
        <f aca="false">IF(E198="","",IFERROR(INDEX(Catálogo!$D$5:$D$34,MATCH(E198,Catálogo!$C$5:$C$34,0)),""))</f>
        <v/>
      </c>
      <c r="H198" s="10" t="str">
        <f aca="false">IF(OR(F198="",G198=""),"",F198*G198)</f>
        <v/>
      </c>
      <c r="I198" s="8"/>
      <c r="J198" s="7"/>
      <c r="K198" s="8"/>
      <c r="L198" s="8"/>
      <c r="M198" s="11"/>
      <c r="N198" s="10" t="str">
        <f aca="false">IF(H198="","",IF(K198="Cancelado",0,H198-M198))</f>
        <v/>
      </c>
      <c r="O198" s="10" t="str">
        <f aca="false">IF(OR(F198="",E198=""),"",IFERROR(IF(INDEX(Catálogo!$E$5:$E$34,MATCH(E198,Catálogo!$C$5:$C$34,0))=0,"",F198*INDEX(Catálogo!$E$5:$E$34,MATCH(E198,Catálogo!$C$5:$C$34,0))),""))</f>
        <v/>
      </c>
      <c r="P198" s="10" t="str">
        <f aca="false">IF(OR(H198="",O198=""),"",H198-O198)</f>
        <v/>
      </c>
      <c r="Q198" s="8"/>
      <c r="R198" s="6" t="str">
        <f aca="false">IF(J198="","",YEAR(J198))</f>
        <v/>
      </c>
      <c r="S198" s="6" t="str">
        <f aca="false">IF(J198="","",MONTH(J198))</f>
        <v/>
      </c>
    </row>
    <row r="199" customFormat="false" ht="15" hidden="false" customHeight="false" outlineLevel="0" collapsed="false">
      <c r="A199" s="6" t="str">
        <f aca="false">IF(C199="","",ROW()-5)</f>
        <v/>
      </c>
      <c r="B199" s="7"/>
      <c r="C199" s="8"/>
      <c r="D199" s="8"/>
      <c r="E199" s="8"/>
      <c r="F199" s="9"/>
      <c r="G199" s="10" t="str">
        <f aca="false">IF(E199="","",IFERROR(INDEX(Catálogo!$D$5:$D$34,MATCH(E199,Catálogo!$C$5:$C$34,0)),""))</f>
        <v/>
      </c>
      <c r="H199" s="10" t="str">
        <f aca="false">IF(OR(F199="",G199=""),"",F199*G199)</f>
        <v/>
      </c>
      <c r="I199" s="8"/>
      <c r="J199" s="7"/>
      <c r="K199" s="8"/>
      <c r="L199" s="8"/>
      <c r="M199" s="11"/>
      <c r="N199" s="10" t="str">
        <f aca="false">IF(H199="","",IF(K199="Cancelado",0,H199-M199))</f>
        <v/>
      </c>
      <c r="O199" s="10" t="str">
        <f aca="false">IF(OR(F199="",E199=""),"",IFERROR(IF(INDEX(Catálogo!$E$5:$E$34,MATCH(E199,Catálogo!$C$5:$C$34,0))=0,"",F199*INDEX(Catálogo!$E$5:$E$34,MATCH(E199,Catálogo!$C$5:$C$34,0))),""))</f>
        <v/>
      </c>
      <c r="P199" s="10" t="str">
        <f aca="false">IF(OR(H199="",O199=""),"",H199-O199)</f>
        <v/>
      </c>
      <c r="Q199" s="8"/>
      <c r="R199" s="6" t="str">
        <f aca="false">IF(J199="","",YEAR(J199))</f>
        <v/>
      </c>
      <c r="S199" s="6" t="str">
        <f aca="false">IF(J199="","",MONTH(J199))</f>
        <v/>
      </c>
    </row>
    <row r="200" customFormat="false" ht="15" hidden="false" customHeight="false" outlineLevel="0" collapsed="false">
      <c r="A200" s="6" t="str">
        <f aca="false">IF(C200="","",ROW()-5)</f>
        <v/>
      </c>
      <c r="B200" s="7"/>
      <c r="C200" s="8"/>
      <c r="D200" s="8"/>
      <c r="E200" s="8"/>
      <c r="F200" s="9"/>
      <c r="G200" s="10" t="str">
        <f aca="false">IF(E200="","",IFERROR(INDEX(Catálogo!$D$5:$D$34,MATCH(E200,Catálogo!$C$5:$C$34,0)),""))</f>
        <v/>
      </c>
      <c r="H200" s="10" t="str">
        <f aca="false">IF(OR(F200="",G200=""),"",F200*G200)</f>
        <v/>
      </c>
      <c r="I200" s="8"/>
      <c r="J200" s="7"/>
      <c r="K200" s="8"/>
      <c r="L200" s="8"/>
      <c r="M200" s="11"/>
      <c r="N200" s="10" t="str">
        <f aca="false">IF(H200="","",IF(K200="Cancelado",0,H200-M200))</f>
        <v/>
      </c>
      <c r="O200" s="10" t="str">
        <f aca="false">IF(OR(F200="",E200=""),"",IFERROR(IF(INDEX(Catálogo!$E$5:$E$34,MATCH(E200,Catálogo!$C$5:$C$34,0))=0,"",F200*INDEX(Catálogo!$E$5:$E$34,MATCH(E200,Catálogo!$C$5:$C$34,0))),""))</f>
        <v/>
      </c>
      <c r="P200" s="10" t="str">
        <f aca="false">IF(OR(H200="",O200=""),"",H200-O200)</f>
        <v/>
      </c>
      <c r="Q200" s="8"/>
      <c r="R200" s="6" t="str">
        <f aca="false">IF(J200="","",YEAR(J200))</f>
        <v/>
      </c>
      <c r="S200" s="6" t="str">
        <f aca="false">IF(J200="","",MONTH(J200))</f>
        <v/>
      </c>
    </row>
    <row r="201" customFormat="false" ht="15" hidden="false" customHeight="false" outlineLevel="0" collapsed="false">
      <c r="A201" s="6" t="str">
        <f aca="false">IF(C201="","",ROW()-5)</f>
        <v/>
      </c>
      <c r="B201" s="7"/>
      <c r="C201" s="8"/>
      <c r="D201" s="8"/>
      <c r="E201" s="8"/>
      <c r="F201" s="9"/>
      <c r="G201" s="10" t="str">
        <f aca="false">IF(E201="","",IFERROR(INDEX(Catálogo!$D$5:$D$34,MATCH(E201,Catálogo!$C$5:$C$34,0)),""))</f>
        <v/>
      </c>
      <c r="H201" s="10" t="str">
        <f aca="false">IF(OR(F201="",G201=""),"",F201*G201)</f>
        <v/>
      </c>
      <c r="I201" s="8"/>
      <c r="J201" s="7"/>
      <c r="K201" s="8"/>
      <c r="L201" s="8"/>
      <c r="M201" s="11"/>
      <c r="N201" s="10" t="str">
        <f aca="false">IF(H201="","",IF(K201="Cancelado",0,H201-M201))</f>
        <v/>
      </c>
      <c r="O201" s="10" t="str">
        <f aca="false">IF(OR(F201="",E201=""),"",IFERROR(IF(INDEX(Catálogo!$E$5:$E$34,MATCH(E201,Catálogo!$C$5:$C$34,0))=0,"",F201*INDEX(Catálogo!$E$5:$E$34,MATCH(E201,Catálogo!$C$5:$C$34,0))),""))</f>
        <v/>
      </c>
      <c r="P201" s="10" t="str">
        <f aca="false">IF(OR(H201="",O201=""),"",H201-O201)</f>
        <v/>
      </c>
      <c r="Q201" s="8"/>
      <c r="R201" s="6" t="str">
        <f aca="false">IF(J201="","",YEAR(J201))</f>
        <v/>
      </c>
      <c r="S201" s="6" t="str">
        <f aca="false">IF(J201="","",MONTH(J201))</f>
        <v/>
      </c>
    </row>
    <row r="202" customFormat="false" ht="15" hidden="false" customHeight="false" outlineLevel="0" collapsed="false">
      <c r="A202" s="6" t="str">
        <f aca="false">IF(C202="","",ROW()-5)</f>
        <v/>
      </c>
      <c r="B202" s="7"/>
      <c r="C202" s="8"/>
      <c r="D202" s="8"/>
      <c r="E202" s="8"/>
      <c r="F202" s="9"/>
      <c r="G202" s="10" t="str">
        <f aca="false">IF(E202="","",IFERROR(INDEX(Catálogo!$D$5:$D$34,MATCH(E202,Catálogo!$C$5:$C$34,0)),""))</f>
        <v/>
      </c>
      <c r="H202" s="10" t="str">
        <f aca="false">IF(OR(F202="",G202=""),"",F202*G202)</f>
        <v/>
      </c>
      <c r="I202" s="8"/>
      <c r="J202" s="7"/>
      <c r="K202" s="8"/>
      <c r="L202" s="8"/>
      <c r="M202" s="11"/>
      <c r="N202" s="10" t="str">
        <f aca="false">IF(H202="","",IF(K202="Cancelado",0,H202-M202))</f>
        <v/>
      </c>
      <c r="O202" s="10" t="str">
        <f aca="false">IF(OR(F202="",E202=""),"",IFERROR(IF(INDEX(Catálogo!$E$5:$E$34,MATCH(E202,Catálogo!$C$5:$C$34,0))=0,"",F202*INDEX(Catálogo!$E$5:$E$34,MATCH(E202,Catálogo!$C$5:$C$34,0))),""))</f>
        <v/>
      </c>
      <c r="P202" s="10" t="str">
        <f aca="false">IF(OR(H202="",O202=""),"",H202-O202)</f>
        <v/>
      </c>
      <c r="Q202" s="8"/>
      <c r="R202" s="6" t="str">
        <f aca="false">IF(J202="","",YEAR(J202))</f>
        <v/>
      </c>
      <c r="S202" s="6" t="str">
        <f aca="false">IF(J202="","",MONTH(J202))</f>
        <v/>
      </c>
    </row>
    <row r="203" customFormat="false" ht="15" hidden="false" customHeight="false" outlineLevel="0" collapsed="false">
      <c r="A203" s="6" t="str">
        <f aca="false">IF(C203="","",ROW()-5)</f>
        <v/>
      </c>
      <c r="B203" s="7"/>
      <c r="C203" s="8"/>
      <c r="D203" s="8"/>
      <c r="E203" s="8"/>
      <c r="F203" s="9"/>
      <c r="G203" s="10" t="str">
        <f aca="false">IF(E203="","",IFERROR(INDEX(Catálogo!$D$5:$D$34,MATCH(E203,Catálogo!$C$5:$C$34,0)),""))</f>
        <v/>
      </c>
      <c r="H203" s="10" t="str">
        <f aca="false">IF(OR(F203="",G203=""),"",F203*G203)</f>
        <v/>
      </c>
      <c r="I203" s="8"/>
      <c r="J203" s="7"/>
      <c r="K203" s="8"/>
      <c r="L203" s="8"/>
      <c r="M203" s="11"/>
      <c r="N203" s="10" t="str">
        <f aca="false">IF(H203="","",IF(K203="Cancelado",0,H203-M203))</f>
        <v/>
      </c>
      <c r="O203" s="10" t="str">
        <f aca="false">IF(OR(F203="",E203=""),"",IFERROR(IF(INDEX(Catálogo!$E$5:$E$34,MATCH(E203,Catálogo!$C$5:$C$34,0))=0,"",F203*INDEX(Catálogo!$E$5:$E$34,MATCH(E203,Catálogo!$C$5:$C$34,0))),""))</f>
        <v/>
      </c>
      <c r="P203" s="10" t="str">
        <f aca="false">IF(OR(H203="",O203=""),"",H203-O203)</f>
        <v/>
      </c>
      <c r="Q203" s="8"/>
      <c r="R203" s="6" t="str">
        <f aca="false">IF(J203="","",YEAR(J203))</f>
        <v/>
      </c>
      <c r="S203" s="6" t="str">
        <f aca="false">IF(J203="","",MONTH(J203))</f>
        <v/>
      </c>
    </row>
    <row r="204" customFormat="false" ht="15" hidden="false" customHeight="false" outlineLevel="0" collapsed="false">
      <c r="A204" s="6" t="str">
        <f aca="false">IF(C204="","",ROW()-5)</f>
        <v/>
      </c>
      <c r="B204" s="7"/>
      <c r="C204" s="8"/>
      <c r="D204" s="8"/>
      <c r="E204" s="8"/>
      <c r="F204" s="9"/>
      <c r="G204" s="10" t="str">
        <f aca="false">IF(E204="","",IFERROR(INDEX(Catálogo!$D$5:$D$34,MATCH(E204,Catálogo!$C$5:$C$34,0)),""))</f>
        <v/>
      </c>
      <c r="H204" s="10" t="str">
        <f aca="false">IF(OR(F204="",G204=""),"",F204*G204)</f>
        <v/>
      </c>
      <c r="I204" s="8"/>
      <c r="J204" s="7"/>
      <c r="K204" s="8"/>
      <c r="L204" s="8"/>
      <c r="M204" s="11"/>
      <c r="N204" s="10" t="str">
        <f aca="false">IF(H204="","",IF(K204="Cancelado",0,H204-M204))</f>
        <v/>
      </c>
      <c r="O204" s="10" t="str">
        <f aca="false">IF(OR(F204="",E204=""),"",IFERROR(IF(INDEX(Catálogo!$E$5:$E$34,MATCH(E204,Catálogo!$C$5:$C$34,0))=0,"",F204*INDEX(Catálogo!$E$5:$E$34,MATCH(E204,Catálogo!$C$5:$C$34,0))),""))</f>
        <v/>
      </c>
      <c r="P204" s="10" t="str">
        <f aca="false">IF(OR(H204="",O204=""),"",H204-O204)</f>
        <v/>
      </c>
      <c r="Q204" s="8"/>
      <c r="R204" s="6" t="str">
        <f aca="false">IF(J204="","",YEAR(J204))</f>
        <v/>
      </c>
      <c r="S204" s="6" t="str">
        <f aca="false">IF(J204="","",MONTH(J204))</f>
        <v/>
      </c>
    </row>
    <row r="205" customFormat="false" ht="15" hidden="false" customHeight="false" outlineLevel="0" collapsed="false">
      <c r="A205" s="6" t="str">
        <f aca="false">IF(C205="","",ROW()-5)</f>
        <v/>
      </c>
      <c r="B205" s="7"/>
      <c r="C205" s="8"/>
      <c r="D205" s="8"/>
      <c r="E205" s="8"/>
      <c r="F205" s="9"/>
      <c r="G205" s="10" t="str">
        <f aca="false">IF(E205="","",IFERROR(INDEX(Catálogo!$D$5:$D$34,MATCH(E205,Catálogo!$C$5:$C$34,0)),""))</f>
        <v/>
      </c>
      <c r="H205" s="10" t="str">
        <f aca="false">IF(OR(F205="",G205=""),"",F205*G205)</f>
        <v/>
      </c>
      <c r="I205" s="8"/>
      <c r="J205" s="7"/>
      <c r="K205" s="8"/>
      <c r="L205" s="8"/>
      <c r="M205" s="11"/>
      <c r="N205" s="10" t="str">
        <f aca="false">IF(H205="","",IF(K205="Cancelado",0,H205-M205))</f>
        <v/>
      </c>
      <c r="O205" s="10" t="str">
        <f aca="false">IF(OR(F205="",E205=""),"",IFERROR(IF(INDEX(Catálogo!$E$5:$E$34,MATCH(E205,Catálogo!$C$5:$C$34,0))=0,"",F205*INDEX(Catálogo!$E$5:$E$34,MATCH(E205,Catálogo!$C$5:$C$34,0))),""))</f>
        <v/>
      </c>
      <c r="P205" s="10" t="str">
        <f aca="false">IF(OR(H205="",O205=""),"",H205-O205)</f>
        <v/>
      </c>
      <c r="Q205" s="8"/>
      <c r="R205" s="6" t="str">
        <f aca="false">IF(J205="","",YEAR(J205))</f>
        <v/>
      </c>
      <c r="S205" s="6" t="str">
        <f aca="false">IF(J205="","",MONTH(J205))</f>
        <v/>
      </c>
    </row>
    <row r="206" customFormat="false" ht="15" hidden="false" customHeight="false" outlineLevel="0" collapsed="false">
      <c r="A206" s="6" t="str">
        <f aca="false">IF(C206="","",ROW()-5)</f>
        <v/>
      </c>
      <c r="B206" s="7"/>
      <c r="C206" s="8"/>
      <c r="D206" s="8"/>
      <c r="E206" s="8"/>
      <c r="F206" s="9"/>
      <c r="G206" s="10" t="str">
        <f aca="false">IF(E206="","",IFERROR(INDEX(Catálogo!$D$5:$D$34,MATCH(E206,Catálogo!$C$5:$C$34,0)),""))</f>
        <v/>
      </c>
      <c r="H206" s="10" t="str">
        <f aca="false">IF(OR(F206="",G206=""),"",F206*G206)</f>
        <v/>
      </c>
      <c r="I206" s="8"/>
      <c r="J206" s="7"/>
      <c r="K206" s="8"/>
      <c r="L206" s="8"/>
      <c r="M206" s="11"/>
      <c r="N206" s="10" t="str">
        <f aca="false">IF(H206="","",IF(K206="Cancelado",0,H206-M206))</f>
        <v/>
      </c>
      <c r="O206" s="10" t="str">
        <f aca="false">IF(OR(F206="",E206=""),"",IFERROR(IF(INDEX(Catálogo!$E$5:$E$34,MATCH(E206,Catálogo!$C$5:$C$34,0))=0,"",F206*INDEX(Catálogo!$E$5:$E$34,MATCH(E206,Catálogo!$C$5:$C$34,0))),""))</f>
        <v/>
      </c>
      <c r="P206" s="10" t="str">
        <f aca="false">IF(OR(H206="",O206=""),"",H206-O206)</f>
        <v/>
      </c>
      <c r="Q206" s="8"/>
      <c r="R206" s="6" t="str">
        <f aca="false">IF(J206="","",YEAR(J206))</f>
        <v/>
      </c>
      <c r="S206" s="6" t="str">
        <f aca="false">IF(J206="","",MONTH(J206))</f>
        <v/>
      </c>
    </row>
    <row r="207" customFormat="false" ht="15" hidden="false" customHeight="false" outlineLevel="0" collapsed="false">
      <c r="A207" s="6" t="str">
        <f aca="false">IF(C207="","",ROW()-5)</f>
        <v/>
      </c>
      <c r="B207" s="7"/>
      <c r="C207" s="8"/>
      <c r="D207" s="8"/>
      <c r="E207" s="8"/>
      <c r="F207" s="9"/>
      <c r="G207" s="10" t="str">
        <f aca="false">IF(E207="","",IFERROR(INDEX(Catálogo!$D$5:$D$34,MATCH(E207,Catálogo!$C$5:$C$34,0)),""))</f>
        <v/>
      </c>
      <c r="H207" s="10" t="str">
        <f aca="false">IF(OR(F207="",G207=""),"",F207*G207)</f>
        <v/>
      </c>
      <c r="I207" s="8"/>
      <c r="J207" s="7"/>
      <c r="K207" s="8"/>
      <c r="L207" s="8"/>
      <c r="M207" s="11"/>
      <c r="N207" s="10" t="str">
        <f aca="false">IF(H207="","",IF(K207="Cancelado",0,H207-M207))</f>
        <v/>
      </c>
      <c r="O207" s="10" t="str">
        <f aca="false">IF(OR(F207="",E207=""),"",IFERROR(IF(INDEX(Catálogo!$E$5:$E$34,MATCH(E207,Catálogo!$C$5:$C$34,0))=0,"",F207*INDEX(Catálogo!$E$5:$E$34,MATCH(E207,Catálogo!$C$5:$C$34,0))),""))</f>
        <v/>
      </c>
      <c r="P207" s="10" t="str">
        <f aca="false">IF(OR(H207="",O207=""),"",H207-O207)</f>
        <v/>
      </c>
      <c r="Q207" s="8"/>
      <c r="R207" s="6" t="str">
        <f aca="false">IF(J207="","",YEAR(J207))</f>
        <v/>
      </c>
      <c r="S207" s="6" t="str">
        <f aca="false">IF(J207="","",MONTH(J207))</f>
        <v/>
      </c>
    </row>
    <row r="208" customFormat="false" ht="15" hidden="false" customHeight="false" outlineLevel="0" collapsed="false">
      <c r="A208" s="6" t="str">
        <f aca="false">IF(C208="","",ROW()-5)</f>
        <v/>
      </c>
      <c r="B208" s="7"/>
      <c r="C208" s="8"/>
      <c r="D208" s="8"/>
      <c r="E208" s="8"/>
      <c r="F208" s="9"/>
      <c r="G208" s="10" t="str">
        <f aca="false">IF(E208="","",IFERROR(INDEX(Catálogo!$D$5:$D$34,MATCH(E208,Catálogo!$C$5:$C$34,0)),""))</f>
        <v/>
      </c>
      <c r="H208" s="10" t="str">
        <f aca="false">IF(OR(F208="",G208=""),"",F208*G208)</f>
        <v/>
      </c>
      <c r="I208" s="8"/>
      <c r="J208" s="7"/>
      <c r="K208" s="8"/>
      <c r="L208" s="8"/>
      <c r="M208" s="11"/>
      <c r="N208" s="10" t="str">
        <f aca="false">IF(H208="","",IF(K208="Cancelado",0,H208-M208))</f>
        <v/>
      </c>
      <c r="O208" s="10" t="str">
        <f aca="false">IF(OR(F208="",E208=""),"",IFERROR(IF(INDEX(Catálogo!$E$5:$E$34,MATCH(E208,Catálogo!$C$5:$C$34,0))=0,"",F208*INDEX(Catálogo!$E$5:$E$34,MATCH(E208,Catálogo!$C$5:$C$34,0))),""))</f>
        <v/>
      </c>
      <c r="P208" s="10" t="str">
        <f aca="false">IF(OR(H208="",O208=""),"",H208-O208)</f>
        <v/>
      </c>
      <c r="Q208" s="8"/>
      <c r="R208" s="6" t="str">
        <f aca="false">IF(J208="","",YEAR(J208))</f>
        <v/>
      </c>
      <c r="S208" s="6" t="str">
        <f aca="false">IF(J208="","",MONTH(J208))</f>
        <v/>
      </c>
    </row>
    <row r="209" customFormat="false" ht="15" hidden="false" customHeight="false" outlineLevel="0" collapsed="false">
      <c r="A209" s="6" t="str">
        <f aca="false">IF(C209="","",ROW()-5)</f>
        <v/>
      </c>
      <c r="B209" s="7"/>
      <c r="C209" s="8"/>
      <c r="D209" s="8"/>
      <c r="E209" s="8"/>
      <c r="F209" s="9"/>
      <c r="G209" s="10" t="str">
        <f aca="false">IF(E209="","",IFERROR(INDEX(Catálogo!$D$5:$D$34,MATCH(E209,Catálogo!$C$5:$C$34,0)),""))</f>
        <v/>
      </c>
      <c r="H209" s="10" t="str">
        <f aca="false">IF(OR(F209="",G209=""),"",F209*G209)</f>
        <v/>
      </c>
      <c r="I209" s="8"/>
      <c r="J209" s="7"/>
      <c r="K209" s="8"/>
      <c r="L209" s="8"/>
      <c r="M209" s="11"/>
      <c r="N209" s="10" t="str">
        <f aca="false">IF(H209="","",IF(K209="Cancelado",0,H209-M209))</f>
        <v/>
      </c>
      <c r="O209" s="10" t="str">
        <f aca="false">IF(OR(F209="",E209=""),"",IFERROR(IF(INDEX(Catálogo!$E$5:$E$34,MATCH(E209,Catálogo!$C$5:$C$34,0))=0,"",F209*INDEX(Catálogo!$E$5:$E$34,MATCH(E209,Catálogo!$C$5:$C$34,0))),""))</f>
        <v/>
      </c>
      <c r="P209" s="10" t="str">
        <f aca="false">IF(OR(H209="",O209=""),"",H209-O209)</f>
        <v/>
      </c>
      <c r="Q209" s="8"/>
      <c r="R209" s="6" t="str">
        <f aca="false">IF(J209="","",YEAR(J209))</f>
        <v/>
      </c>
      <c r="S209" s="6" t="str">
        <f aca="false">IF(J209="","",MONTH(J209))</f>
        <v/>
      </c>
    </row>
    <row r="210" customFormat="false" ht="15" hidden="false" customHeight="false" outlineLevel="0" collapsed="false">
      <c r="A210" s="6" t="str">
        <f aca="false">IF(C210="","",ROW()-5)</f>
        <v/>
      </c>
      <c r="B210" s="7"/>
      <c r="C210" s="8"/>
      <c r="D210" s="8"/>
      <c r="E210" s="8"/>
      <c r="F210" s="9"/>
      <c r="G210" s="10" t="str">
        <f aca="false">IF(E210="","",IFERROR(INDEX(Catálogo!$D$5:$D$34,MATCH(E210,Catálogo!$C$5:$C$34,0)),""))</f>
        <v/>
      </c>
      <c r="H210" s="10" t="str">
        <f aca="false">IF(OR(F210="",G210=""),"",F210*G210)</f>
        <v/>
      </c>
      <c r="I210" s="8"/>
      <c r="J210" s="7"/>
      <c r="K210" s="8"/>
      <c r="L210" s="8"/>
      <c r="M210" s="11"/>
      <c r="N210" s="10" t="str">
        <f aca="false">IF(H210="","",IF(K210="Cancelado",0,H210-M210))</f>
        <v/>
      </c>
      <c r="O210" s="10" t="str">
        <f aca="false">IF(OR(F210="",E210=""),"",IFERROR(IF(INDEX(Catálogo!$E$5:$E$34,MATCH(E210,Catálogo!$C$5:$C$34,0))=0,"",F210*INDEX(Catálogo!$E$5:$E$34,MATCH(E210,Catálogo!$C$5:$C$34,0))),""))</f>
        <v/>
      </c>
      <c r="P210" s="10" t="str">
        <f aca="false">IF(OR(H210="",O210=""),"",H210-O210)</f>
        <v/>
      </c>
      <c r="Q210" s="8"/>
      <c r="R210" s="6" t="str">
        <f aca="false">IF(J210="","",YEAR(J210))</f>
        <v/>
      </c>
      <c r="S210" s="6" t="str">
        <f aca="false">IF(J210="","",MONTH(J210))</f>
        <v/>
      </c>
    </row>
    <row r="211" customFormat="false" ht="15" hidden="false" customHeight="false" outlineLevel="0" collapsed="false">
      <c r="A211" s="6" t="str">
        <f aca="false">IF(C211="","",ROW()-5)</f>
        <v/>
      </c>
      <c r="B211" s="7"/>
      <c r="C211" s="8"/>
      <c r="D211" s="8"/>
      <c r="E211" s="8"/>
      <c r="F211" s="9"/>
      <c r="G211" s="10" t="str">
        <f aca="false">IF(E211="","",IFERROR(INDEX(Catálogo!$D$5:$D$34,MATCH(E211,Catálogo!$C$5:$C$34,0)),""))</f>
        <v/>
      </c>
      <c r="H211" s="10" t="str">
        <f aca="false">IF(OR(F211="",G211=""),"",F211*G211)</f>
        <v/>
      </c>
      <c r="I211" s="8"/>
      <c r="J211" s="7"/>
      <c r="K211" s="8"/>
      <c r="L211" s="8"/>
      <c r="M211" s="11"/>
      <c r="N211" s="10" t="str">
        <f aca="false">IF(H211="","",IF(K211="Cancelado",0,H211-M211))</f>
        <v/>
      </c>
      <c r="O211" s="10" t="str">
        <f aca="false">IF(OR(F211="",E211=""),"",IFERROR(IF(INDEX(Catálogo!$E$5:$E$34,MATCH(E211,Catálogo!$C$5:$C$34,0))=0,"",F211*INDEX(Catálogo!$E$5:$E$34,MATCH(E211,Catálogo!$C$5:$C$34,0))),""))</f>
        <v/>
      </c>
      <c r="P211" s="10" t="str">
        <f aca="false">IF(OR(H211="",O211=""),"",H211-O211)</f>
        <v/>
      </c>
      <c r="Q211" s="8"/>
      <c r="R211" s="6" t="str">
        <f aca="false">IF(J211="","",YEAR(J211))</f>
        <v/>
      </c>
      <c r="S211" s="6" t="str">
        <f aca="false">IF(J211="","",MONTH(J211))</f>
        <v/>
      </c>
    </row>
    <row r="212" customFormat="false" ht="15" hidden="false" customHeight="false" outlineLevel="0" collapsed="false">
      <c r="A212" s="6" t="str">
        <f aca="false">IF(C212="","",ROW()-5)</f>
        <v/>
      </c>
      <c r="B212" s="7"/>
      <c r="C212" s="8"/>
      <c r="D212" s="8"/>
      <c r="E212" s="8"/>
      <c r="F212" s="9"/>
      <c r="G212" s="10" t="str">
        <f aca="false">IF(E212="","",IFERROR(INDEX(Catálogo!$D$5:$D$34,MATCH(E212,Catálogo!$C$5:$C$34,0)),""))</f>
        <v/>
      </c>
      <c r="H212" s="10" t="str">
        <f aca="false">IF(OR(F212="",G212=""),"",F212*G212)</f>
        <v/>
      </c>
      <c r="I212" s="8"/>
      <c r="J212" s="7"/>
      <c r="K212" s="8"/>
      <c r="L212" s="8"/>
      <c r="M212" s="11"/>
      <c r="N212" s="10" t="str">
        <f aca="false">IF(H212="","",IF(K212="Cancelado",0,H212-M212))</f>
        <v/>
      </c>
      <c r="O212" s="10" t="str">
        <f aca="false">IF(OR(F212="",E212=""),"",IFERROR(IF(INDEX(Catálogo!$E$5:$E$34,MATCH(E212,Catálogo!$C$5:$C$34,0))=0,"",F212*INDEX(Catálogo!$E$5:$E$34,MATCH(E212,Catálogo!$C$5:$C$34,0))),""))</f>
        <v/>
      </c>
      <c r="P212" s="10" t="str">
        <f aca="false">IF(OR(H212="",O212=""),"",H212-O212)</f>
        <v/>
      </c>
      <c r="Q212" s="8"/>
      <c r="R212" s="6" t="str">
        <f aca="false">IF(J212="","",YEAR(J212))</f>
        <v/>
      </c>
      <c r="S212" s="6" t="str">
        <f aca="false">IF(J212="","",MONTH(J212))</f>
        <v/>
      </c>
    </row>
    <row r="213" customFormat="false" ht="15" hidden="false" customHeight="false" outlineLevel="0" collapsed="false">
      <c r="A213" s="6" t="str">
        <f aca="false">IF(C213="","",ROW()-5)</f>
        <v/>
      </c>
      <c r="B213" s="7"/>
      <c r="C213" s="8"/>
      <c r="D213" s="8"/>
      <c r="E213" s="8"/>
      <c r="F213" s="9"/>
      <c r="G213" s="10" t="str">
        <f aca="false">IF(E213="","",IFERROR(INDEX(Catálogo!$D$5:$D$34,MATCH(E213,Catálogo!$C$5:$C$34,0)),""))</f>
        <v/>
      </c>
      <c r="H213" s="10" t="str">
        <f aca="false">IF(OR(F213="",G213=""),"",F213*G213)</f>
        <v/>
      </c>
      <c r="I213" s="8"/>
      <c r="J213" s="7"/>
      <c r="K213" s="8"/>
      <c r="L213" s="8"/>
      <c r="M213" s="11"/>
      <c r="N213" s="10" t="str">
        <f aca="false">IF(H213="","",IF(K213="Cancelado",0,H213-M213))</f>
        <v/>
      </c>
      <c r="O213" s="10" t="str">
        <f aca="false">IF(OR(F213="",E213=""),"",IFERROR(IF(INDEX(Catálogo!$E$5:$E$34,MATCH(E213,Catálogo!$C$5:$C$34,0))=0,"",F213*INDEX(Catálogo!$E$5:$E$34,MATCH(E213,Catálogo!$C$5:$C$34,0))),""))</f>
        <v/>
      </c>
      <c r="P213" s="10" t="str">
        <f aca="false">IF(OR(H213="",O213=""),"",H213-O213)</f>
        <v/>
      </c>
      <c r="Q213" s="8"/>
      <c r="R213" s="6" t="str">
        <f aca="false">IF(J213="","",YEAR(J213))</f>
        <v/>
      </c>
      <c r="S213" s="6" t="str">
        <f aca="false">IF(J213="","",MONTH(J213))</f>
        <v/>
      </c>
    </row>
    <row r="214" customFormat="false" ht="15" hidden="false" customHeight="false" outlineLevel="0" collapsed="false">
      <c r="A214" s="6" t="str">
        <f aca="false">IF(C214="","",ROW()-5)</f>
        <v/>
      </c>
      <c r="B214" s="7"/>
      <c r="C214" s="8"/>
      <c r="D214" s="8"/>
      <c r="E214" s="8"/>
      <c r="F214" s="9"/>
      <c r="G214" s="10" t="str">
        <f aca="false">IF(E214="","",IFERROR(INDEX(Catálogo!$D$5:$D$34,MATCH(E214,Catálogo!$C$5:$C$34,0)),""))</f>
        <v/>
      </c>
      <c r="H214" s="10" t="str">
        <f aca="false">IF(OR(F214="",G214=""),"",F214*G214)</f>
        <v/>
      </c>
      <c r="I214" s="8"/>
      <c r="J214" s="7"/>
      <c r="K214" s="8"/>
      <c r="L214" s="8"/>
      <c r="M214" s="11"/>
      <c r="N214" s="10" t="str">
        <f aca="false">IF(H214="","",IF(K214="Cancelado",0,H214-M214))</f>
        <v/>
      </c>
      <c r="O214" s="10" t="str">
        <f aca="false">IF(OR(F214="",E214=""),"",IFERROR(IF(INDEX(Catálogo!$E$5:$E$34,MATCH(E214,Catálogo!$C$5:$C$34,0))=0,"",F214*INDEX(Catálogo!$E$5:$E$34,MATCH(E214,Catálogo!$C$5:$C$34,0))),""))</f>
        <v/>
      </c>
      <c r="P214" s="10" t="str">
        <f aca="false">IF(OR(H214="",O214=""),"",H214-O214)</f>
        <v/>
      </c>
      <c r="Q214" s="8"/>
      <c r="R214" s="6" t="str">
        <f aca="false">IF(J214="","",YEAR(J214))</f>
        <v/>
      </c>
      <c r="S214" s="6" t="str">
        <f aca="false">IF(J214="","",MONTH(J214))</f>
        <v/>
      </c>
    </row>
    <row r="215" customFormat="false" ht="15" hidden="false" customHeight="false" outlineLevel="0" collapsed="false">
      <c r="A215" s="6" t="str">
        <f aca="false">IF(C215="","",ROW()-5)</f>
        <v/>
      </c>
      <c r="B215" s="7"/>
      <c r="C215" s="8"/>
      <c r="D215" s="8"/>
      <c r="E215" s="8"/>
      <c r="F215" s="9"/>
      <c r="G215" s="10" t="str">
        <f aca="false">IF(E215="","",IFERROR(INDEX(Catálogo!$D$5:$D$34,MATCH(E215,Catálogo!$C$5:$C$34,0)),""))</f>
        <v/>
      </c>
      <c r="H215" s="10" t="str">
        <f aca="false">IF(OR(F215="",G215=""),"",F215*G215)</f>
        <v/>
      </c>
      <c r="I215" s="8"/>
      <c r="J215" s="7"/>
      <c r="K215" s="8"/>
      <c r="L215" s="8"/>
      <c r="M215" s="11"/>
      <c r="N215" s="10" t="str">
        <f aca="false">IF(H215="","",IF(K215="Cancelado",0,H215-M215))</f>
        <v/>
      </c>
      <c r="O215" s="10" t="str">
        <f aca="false">IF(OR(F215="",E215=""),"",IFERROR(IF(INDEX(Catálogo!$E$5:$E$34,MATCH(E215,Catálogo!$C$5:$C$34,0))=0,"",F215*INDEX(Catálogo!$E$5:$E$34,MATCH(E215,Catálogo!$C$5:$C$34,0))),""))</f>
        <v/>
      </c>
      <c r="P215" s="10" t="str">
        <f aca="false">IF(OR(H215="",O215=""),"",H215-O215)</f>
        <v/>
      </c>
      <c r="Q215" s="8"/>
      <c r="R215" s="6" t="str">
        <f aca="false">IF(J215="","",YEAR(J215))</f>
        <v/>
      </c>
      <c r="S215" s="6" t="str">
        <f aca="false">IF(J215="","",MONTH(J215))</f>
        <v/>
      </c>
    </row>
    <row r="216" customFormat="false" ht="15" hidden="false" customHeight="false" outlineLevel="0" collapsed="false">
      <c r="A216" s="6" t="str">
        <f aca="false">IF(C216="","",ROW()-5)</f>
        <v/>
      </c>
      <c r="B216" s="7"/>
      <c r="C216" s="8"/>
      <c r="D216" s="8"/>
      <c r="E216" s="8"/>
      <c r="F216" s="9"/>
      <c r="G216" s="10" t="str">
        <f aca="false">IF(E216="","",IFERROR(INDEX(Catálogo!$D$5:$D$34,MATCH(E216,Catálogo!$C$5:$C$34,0)),""))</f>
        <v/>
      </c>
      <c r="H216" s="10" t="str">
        <f aca="false">IF(OR(F216="",G216=""),"",F216*G216)</f>
        <v/>
      </c>
      <c r="I216" s="8"/>
      <c r="J216" s="7"/>
      <c r="K216" s="8"/>
      <c r="L216" s="8"/>
      <c r="M216" s="11"/>
      <c r="N216" s="10" t="str">
        <f aca="false">IF(H216="","",IF(K216="Cancelado",0,H216-M216))</f>
        <v/>
      </c>
      <c r="O216" s="10" t="str">
        <f aca="false">IF(OR(F216="",E216=""),"",IFERROR(IF(INDEX(Catálogo!$E$5:$E$34,MATCH(E216,Catálogo!$C$5:$C$34,0))=0,"",F216*INDEX(Catálogo!$E$5:$E$34,MATCH(E216,Catálogo!$C$5:$C$34,0))),""))</f>
        <v/>
      </c>
      <c r="P216" s="10" t="str">
        <f aca="false">IF(OR(H216="",O216=""),"",H216-O216)</f>
        <v/>
      </c>
      <c r="Q216" s="8"/>
      <c r="R216" s="6" t="str">
        <f aca="false">IF(J216="","",YEAR(J216))</f>
        <v/>
      </c>
      <c r="S216" s="6" t="str">
        <f aca="false">IF(J216="","",MONTH(J216))</f>
        <v/>
      </c>
    </row>
    <row r="217" customFormat="false" ht="15" hidden="false" customHeight="false" outlineLevel="0" collapsed="false">
      <c r="A217" s="6" t="str">
        <f aca="false">IF(C217="","",ROW()-5)</f>
        <v/>
      </c>
      <c r="B217" s="7"/>
      <c r="C217" s="8"/>
      <c r="D217" s="8"/>
      <c r="E217" s="8"/>
      <c r="F217" s="9"/>
      <c r="G217" s="10" t="str">
        <f aca="false">IF(E217="","",IFERROR(INDEX(Catálogo!$D$5:$D$34,MATCH(E217,Catálogo!$C$5:$C$34,0)),""))</f>
        <v/>
      </c>
      <c r="H217" s="10" t="str">
        <f aca="false">IF(OR(F217="",G217=""),"",F217*G217)</f>
        <v/>
      </c>
      <c r="I217" s="8"/>
      <c r="J217" s="7"/>
      <c r="K217" s="8"/>
      <c r="L217" s="8"/>
      <c r="M217" s="11"/>
      <c r="N217" s="10" t="str">
        <f aca="false">IF(H217="","",IF(K217="Cancelado",0,H217-M217))</f>
        <v/>
      </c>
      <c r="O217" s="10" t="str">
        <f aca="false">IF(OR(F217="",E217=""),"",IFERROR(IF(INDEX(Catálogo!$E$5:$E$34,MATCH(E217,Catálogo!$C$5:$C$34,0))=0,"",F217*INDEX(Catálogo!$E$5:$E$34,MATCH(E217,Catálogo!$C$5:$C$34,0))),""))</f>
        <v/>
      </c>
      <c r="P217" s="10" t="str">
        <f aca="false">IF(OR(H217="",O217=""),"",H217-O217)</f>
        <v/>
      </c>
      <c r="Q217" s="8"/>
      <c r="R217" s="6" t="str">
        <f aca="false">IF(J217="","",YEAR(J217))</f>
        <v/>
      </c>
      <c r="S217" s="6" t="str">
        <f aca="false">IF(J217="","",MONTH(J217))</f>
        <v/>
      </c>
    </row>
    <row r="218" customFormat="false" ht="15" hidden="false" customHeight="false" outlineLevel="0" collapsed="false">
      <c r="A218" s="6" t="str">
        <f aca="false">IF(C218="","",ROW()-5)</f>
        <v/>
      </c>
      <c r="B218" s="7"/>
      <c r="C218" s="8"/>
      <c r="D218" s="8"/>
      <c r="E218" s="8"/>
      <c r="F218" s="9"/>
      <c r="G218" s="10" t="str">
        <f aca="false">IF(E218="","",IFERROR(INDEX(Catálogo!$D$5:$D$34,MATCH(E218,Catálogo!$C$5:$C$34,0)),""))</f>
        <v/>
      </c>
      <c r="H218" s="10" t="str">
        <f aca="false">IF(OR(F218="",G218=""),"",F218*G218)</f>
        <v/>
      </c>
      <c r="I218" s="8"/>
      <c r="J218" s="7"/>
      <c r="K218" s="8"/>
      <c r="L218" s="8"/>
      <c r="M218" s="11"/>
      <c r="N218" s="10" t="str">
        <f aca="false">IF(H218="","",IF(K218="Cancelado",0,H218-M218))</f>
        <v/>
      </c>
      <c r="O218" s="10" t="str">
        <f aca="false">IF(OR(F218="",E218=""),"",IFERROR(IF(INDEX(Catálogo!$E$5:$E$34,MATCH(E218,Catálogo!$C$5:$C$34,0))=0,"",F218*INDEX(Catálogo!$E$5:$E$34,MATCH(E218,Catálogo!$C$5:$C$34,0))),""))</f>
        <v/>
      </c>
      <c r="P218" s="10" t="str">
        <f aca="false">IF(OR(H218="",O218=""),"",H218-O218)</f>
        <v/>
      </c>
      <c r="Q218" s="8"/>
      <c r="R218" s="6" t="str">
        <f aca="false">IF(J218="","",YEAR(J218))</f>
        <v/>
      </c>
      <c r="S218" s="6" t="str">
        <f aca="false">IF(J218="","",MONTH(J218))</f>
        <v/>
      </c>
    </row>
    <row r="219" customFormat="false" ht="15" hidden="false" customHeight="false" outlineLevel="0" collapsed="false">
      <c r="A219" s="6" t="str">
        <f aca="false">IF(C219="","",ROW()-5)</f>
        <v/>
      </c>
      <c r="B219" s="7"/>
      <c r="C219" s="8"/>
      <c r="D219" s="8"/>
      <c r="E219" s="8"/>
      <c r="F219" s="9"/>
      <c r="G219" s="10" t="str">
        <f aca="false">IF(E219="","",IFERROR(INDEX(Catálogo!$D$5:$D$34,MATCH(E219,Catálogo!$C$5:$C$34,0)),""))</f>
        <v/>
      </c>
      <c r="H219" s="10" t="str">
        <f aca="false">IF(OR(F219="",G219=""),"",F219*G219)</f>
        <v/>
      </c>
      <c r="I219" s="8"/>
      <c r="J219" s="7"/>
      <c r="K219" s="8"/>
      <c r="L219" s="8"/>
      <c r="M219" s="11"/>
      <c r="N219" s="10" t="str">
        <f aca="false">IF(H219="","",IF(K219="Cancelado",0,H219-M219))</f>
        <v/>
      </c>
      <c r="O219" s="10" t="str">
        <f aca="false">IF(OR(F219="",E219=""),"",IFERROR(IF(INDEX(Catálogo!$E$5:$E$34,MATCH(E219,Catálogo!$C$5:$C$34,0))=0,"",F219*INDEX(Catálogo!$E$5:$E$34,MATCH(E219,Catálogo!$C$5:$C$34,0))),""))</f>
        <v/>
      </c>
      <c r="P219" s="10" t="str">
        <f aca="false">IF(OR(H219="",O219=""),"",H219-O219)</f>
        <v/>
      </c>
      <c r="Q219" s="8"/>
      <c r="R219" s="6" t="str">
        <f aca="false">IF(J219="","",YEAR(J219))</f>
        <v/>
      </c>
      <c r="S219" s="6" t="str">
        <f aca="false">IF(J219="","",MONTH(J219))</f>
        <v/>
      </c>
    </row>
    <row r="220" customFormat="false" ht="15" hidden="false" customHeight="false" outlineLevel="0" collapsed="false">
      <c r="A220" s="6" t="str">
        <f aca="false">IF(C220="","",ROW()-5)</f>
        <v/>
      </c>
      <c r="B220" s="7"/>
      <c r="C220" s="8"/>
      <c r="D220" s="8"/>
      <c r="E220" s="8"/>
      <c r="F220" s="9"/>
      <c r="G220" s="10" t="str">
        <f aca="false">IF(E220="","",IFERROR(INDEX(Catálogo!$D$5:$D$34,MATCH(E220,Catálogo!$C$5:$C$34,0)),""))</f>
        <v/>
      </c>
      <c r="H220" s="10" t="str">
        <f aca="false">IF(OR(F220="",G220=""),"",F220*G220)</f>
        <v/>
      </c>
      <c r="I220" s="8"/>
      <c r="J220" s="7"/>
      <c r="K220" s="8"/>
      <c r="L220" s="8"/>
      <c r="M220" s="11"/>
      <c r="N220" s="10" t="str">
        <f aca="false">IF(H220="","",IF(K220="Cancelado",0,H220-M220))</f>
        <v/>
      </c>
      <c r="O220" s="10" t="str">
        <f aca="false">IF(OR(F220="",E220=""),"",IFERROR(IF(INDEX(Catálogo!$E$5:$E$34,MATCH(E220,Catálogo!$C$5:$C$34,0))=0,"",F220*INDEX(Catálogo!$E$5:$E$34,MATCH(E220,Catálogo!$C$5:$C$34,0))),""))</f>
        <v/>
      </c>
      <c r="P220" s="10" t="str">
        <f aca="false">IF(OR(H220="",O220=""),"",H220-O220)</f>
        <v/>
      </c>
      <c r="Q220" s="8"/>
      <c r="R220" s="6" t="str">
        <f aca="false">IF(J220="","",YEAR(J220))</f>
        <v/>
      </c>
      <c r="S220" s="6" t="str">
        <f aca="false">IF(J220="","",MONTH(J220))</f>
        <v/>
      </c>
    </row>
    <row r="221" customFormat="false" ht="15" hidden="false" customHeight="false" outlineLevel="0" collapsed="false">
      <c r="A221" s="6" t="str">
        <f aca="false">IF(C221="","",ROW()-5)</f>
        <v/>
      </c>
      <c r="B221" s="7"/>
      <c r="C221" s="8"/>
      <c r="D221" s="8"/>
      <c r="E221" s="8"/>
      <c r="F221" s="9"/>
      <c r="G221" s="10" t="str">
        <f aca="false">IF(E221="","",IFERROR(INDEX(Catálogo!$D$5:$D$34,MATCH(E221,Catálogo!$C$5:$C$34,0)),""))</f>
        <v/>
      </c>
      <c r="H221" s="10" t="str">
        <f aca="false">IF(OR(F221="",G221=""),"",F221*G221)</f>
        <v/>
      </c>
      <c r="I221" s="8"/>
      <c r="J221" s="7"/>
      <c r="K221" s="8"/>
      <c r="L221" s="8"/>
      <c r="M221" s="11"/>
      <c r="N221" s="10" t="str">
        <f aca="false">IF(H221="","",IF(K221="Cancelado",0,H221-M221))</f>
        <v/>
      </c>
      <c r="O221" s="10" t="str">
        <f aca="false">IF(OR(F221="",E221=""),"",IFERROR(IF(INDEX(Catálogo!$E$5:$E$34,MATCH(E221,Catálogo!$C$5:$C$34,0))=0,"",F221*INDEX(Catálogo!$E$5:$E$34,MATCH(E221,Catálogo!$C$5:$C$34,0))),""))</f>
        <v/>
      </c>
      <c r="P221" s="10" t="str">
        <f aca="false">IF(OR(H221="",O221=""),"",H221-O221)</f>
        <v/>
      </c>
      <c r="Q221" s="8"/>
      <c r="R221" s="6" t="str">
        <f aca="false">IF(J221="","",YEAR(J221))</f>
        <v/>
      </c>
      <c r="S221" s="6" t="str">
        <f aca="false">IF(J221="","",MONTH(J221))</f>
        <v/>
      </c>
    </row>
    <row r="222" customFormat="false" ht="15" hidden="false" customHeight="false" outlineLevel="0" collapsed="false">
      <c r="A222" s="6" t="str">
        <f aca="false">IF(C222="","",ROW()-5)</f>
        <v/>
      </c>
      <c r="B222" s="7"/>
      <c r="C222" s="8"/>
      <c r="D222" s="8"/>
      <c r="E222" s="8"/>
      <c r="F222" s="9"/>
      <c r="G222" s="10" t="str">
        <f aca="false">IF(E222="","",IFERROR(INDEX(Catálogo!$D$5:$D$34,MATCH(E222,Catálogo!$C$5:$C$34,0)),""))</f>
        <v/>
      </c>
      <c r="H222" s="10" t="str">
        <f aca="false">IF(OR(F222="",G222=""),"",F222*G222)</f>
        <v/>
      </c>
      <c r="I222" s="8"/>
      <c r="J222" s="7"/>
      <c r="K222" s="8"/>
      <c r="L222" s="8"/>
      <c r="M222" s="11"/>
      <c r="N222" s="10" t="str">
        <f aca="false">IF(H222="","",IF(K222="Cancelado",0,H222-M222))</f>
        <v/>
      </c>
      <c r="O222" s="10" t="str">
        <f aca="false">IF(OR(F222="",E222=""),"",IFERROR(IF(INDEX(Catálogo!$E$5:$E$34,MATCH(E222,Catálogo!$C$5:$C$34,0))=0,"",F222*INDEX(Catálogo!$E$5:$E$34,MATCH(E222,Catálogo!$C$5:$C$34,0))),""))</f>
        <v/>
      </c>
      <c r="P222" s="10" t="str">
        <f aca="false">IF(OR(H222="",O222=""),"",H222-O222)</f>
        <v/>
      </c>
      <c r="Q222" s="8"/>
      <c r="R222" s="6" t="str">
        <f aca="false">IF(J222="","",YEAR(J222))</f>
        <v/>
      </c>
      <c r="S222" s="6" t="str">
        <f aca="false">IF(J222="","",MONTH(J222))</f>
        <v/>
      </c>
    </row>
    <row r="223" customFormat="false" ht="15" hidden="false" customHeight="false" outlineLevel="0" collapsed="false">
      <c r="A223" s="6" t="str">
        <f aca="false">IF(C223="","",ROW()-5)</f>
        <v/>
      </c>
      <c r="B223" s="7"/>
      <c r="C223" s="8"/>
      <c r="D223" s="8"/>
      <c r="E223" s="8"/>
      <c r="F223" s="9"/>
      <c r="G223" s="10" t="str">
        <f aca="false">IF(E223="","",IFERROR(INDEX(Catálogo!$D$5:$D$34,MATCH(E223,Catálogo!$C$5:$C$34,0)),""))</f>
        <v/>
      </c>
      <c r="H223" s="10" t="str">
        <f aca="false">IF(OR(F223="",G223=""),"",F223*G223)</f>
        <v/>
      </c>
      <c r="I223" s="8"/>
      <c r="J223" s="7"/>
      <c r="K223" s="8"/>
      <c r="L223" s="8"/>
      <c r="M223" s="11"/>
      <c r="N223" s="10" t="str">
        <f aca="false">IF(H223="","",IF(K223="Cancelado",0,H223-M223))</f>
        <v/>
      </c>
      <c r="O223" s="10" t="str">
        <f aca="false">IF(OR(F223="",E223=""),"",IFERROR(IF(INDEX(Catálogo!$E$5:$E$34,MATCH(E223,Catálogo!$C$5:$C$34,0))=0,"",F223*INDEX(Catálogo!$E$5:$E$34,MATCH(E223,Catálogo!$C$5:$C$34,0))),""))</f>
        <v/>
      </c>
      <c r="P223" s="10" t="str">
        <f aca="false">IF(OR(H223="",O223=""),"",H223-O223)</f>
        <v/>
      </c>
      <c r="Q223" s="8"/>
      <c r="R223" s="6" t="str">
        <f aca="false">IF(J223="","",YEAR(J223))</f>
        <v/>
      </c>
      <c r="S223" s="6" t="str">
        <f aca="false">IF(J223="","",MONTH(J223))</f>
        <v/>
      </c>
    </row>
    <row r="224" customFormat="false" ht="15" hidden="false" customHeight="false" outlineLevel="0" collapsed="false">
      <c r="A224" s="6" t="str">
        <f aca="false">IF(C224="","",ROW()-5)</f>
        <v/>
      </c>
      <c r="B224" s="7"/>
      <c r="C224" s="8"/>
      <c r="D224" s="8"/>
      <c r="E224" s="8"/>
      <c r="F224" s="9"/>
      <c r="G224" s="10" t="str">
        <f aca="false">IF(E224="","",IFERROR(INDEX(Catálogo!$D$5:$D$34,MATCH(E224,Catálogo!$C$5:$C$34,0)),""))</f>
        <v/>
      </c>
      <c r="H224" s="10" t="str">
        <f aca="false">IF(OR(F224="",G224=""),"",F224*G224)</f>
        <v/>
      </c>
      <c r="I224" s="8"/>
      <c r="J224" s="7"/>
      <c r="K224" s="8"/>
      <c r="L224" s="8"/>
      <c r="M224" s="11"/>
      <c r="N224" s="10" t="str">
        <f aca="false">IF(H224="","",IF(K224="Cancelado",0,H224-M224))</f>
        <v/>
      </c>
      <c r="O224" s="10" t="str">
        <f aca="false">IF(OR(F224="",E224=""),"",IFERROR(IF(INDEX(Catálogo!$E$5:$E$34,MATCH(E224,Catálogo!$C$5:$C$34,0))=0,"",F224*INDEX(Catálogo!$E$5:$E$34,MATCH(E224,Catálogo!$C$5:$C$34,0))),""))</f>
        <v/>
      </c>
      <c r="P224" s="10" t="str">
        <f aca="false">IF(OR(H224="",O224=""),"",H224-O224)</f>
        <v/>
      </c>
      <c r="Q224" s="8"/>
      <c r="R224" s="6" t="str">
        <f aca="false">IF(J224="","",YEAR(J224))</f>
        <v/>
      </c>
      <c r="S224" s="6" t="str">
        <f aca="false">IF(J224="","",MONTH(J224))</f>
        <v/>
      </c>
    </row>
    <row r="225" customFormat="false" ht="15" hidden="false" customHeight="false" outlineLevel="0" collapsed="false">
      <c r="A225" s="6" t="str">
        <f aca="false">IF(C225="","",ROW()-5)</f>
        <v/>
      </c>
      <c r="B225" s="7"/>
      <c r="C225" s="8"/>
      <c r="D225" s="8"/>
      <c r="E225" s="8"/>
      <c r="F225" s="9"/>
      <c r="G225" s="10" t="str">
        <f aca="false">IF(E225="","",IFERROR(INDEX(Catálogo!$D$5:$D$34,MATCH(E225,Catálogo!$C$5:$C$34,0)),""))</f>
        <v/>
      </c>
      <c r="H225" s="10" t="str">
        <f aca="false">IF(OR(F225="",G225=""),"",F225*G225)</f>
        <v/>
      </c>
      <c r="I225" s="8"/>
      <c r="J225" s="7"/>
      <c r="K225" s="8"/>
      <c r="L225" s="8"/>
      <c r="M225" s="11"/>
      <c r="N225" s="10" t="str">
        <f aca="false">IF(H225="","",IF(K225="Cancelado",0,H225-M225))</f>
        <v/>
      </c>
      <c r="O225" s="10" t="str">
        <f aca="false">IF(OR(F225="",E225=""),"",IFERROR(IF(INDEX(Catálogo!$E$5:$E$34,MATCH(E225,Catálogo!$C$5:$C$34,0))=0,"",F225*INDEX(Catálogo!$E$5:$E$34,MATCH(E225,Catálogo!$C$5:$C$34,0))),""))</f>
        <v/>
      </c>
      <c r="P225" s="10" t="str">
        <f aca="false">IF(OR(H225="",O225=""),"",H225-O225)</f>
        <v/>
      </c>
      <c r="Q225" s="8"/>
      <c r="R225" s="6" t="str">
        <f aca="false">IF(J225="","",YEAR(J225))</f>
        <v/>
      </c>
      <c r="S225" s="6" t="str">
        <f aca="false">IF(J225="","",MONTH(J225))</f>
        <v/>
      </c>
    </row>
    <row r="226" customFormat="false" ht="15" hidden="false" customHeight="false" outlineLevel="0" collapsed="false">
      <c r="A226" s="6" t="str">
        <f aca="false">IF(C226="","",ROW()-5)</f>
        <v/>
      </c>
      <c r="B226" s="7"/>
      <c r="C226" s="8"/>
      <c r="D226" s="8"/>
      <c r="E226" s="8"/>
      <c r="F226" s="9"/>
      <c r="G226" s="10" t="str">
        <f aca="false">IF(E226="","",IFERROR(INDEX(Catálogo!$D$5:$D$34,MATCH(E226,Catálogo!$C$5:$C$34,0)),""))</f>
        <v/>
      </c>
      <c r="H226" s="10" t="str">
        <f aca="false">IF(OR(F226="",G226=""),"",F226*G226)</f>
        <v/>
      </c>
      <c r="I226" s="8"/>
      <c r="J226" s="7"/>
      <c r="K226" s="8"/>
      <c r="L226" s="8"/>
      <c r="M226" s="11"/>
      <c r="N226" s="10" t="str">
        <f aca="false">IF(H226="","",IF(K226="Cancelado",0,H226-M226))</f>
        <v/>
      </c>
      <c r="O226" s="10" t="str">
        <f aca="false">IF(OR(F226="",E226=""),"",IFERROR(IF(INDEX(Catálogo!$E$5:$E$34,MATCH(E226,Catálogo!$C$5:$C$34,0))=0,"",F226*INDEX(Catálogo!$E$5:$E$34,MATCH(E226,Catálogo!$C$5:$C$34,0))),""))</f>
        <v/>
      </c>
      <c r="P226" s="10" t="str">
        <f aca="false">IF(OR(H226="",O226=""),"",H226-O226)</f>
        <v/>
      </c>
      <c r="Q226" s="8"/>
      <c r="R226" s="6" t="str">
        <f aca="false">IF(J226="","",YEAR(J226))</f>
        <v/>
      </c>
      <c r="S226" s="6" t="str">
        <f aca="false">IF(J226="","",MONTH(J226))</f>
        <v/>
      </c>
    </row>
    <row r="227" customFormat="false" ht="15" hidden="false" customHeight="false" outlineLevel="0" collapsed="false">
      <c r="A227" s="6" t="str">
        <f aca="false">IF(C227="","",ROW()-5)</f>
        <v/>
      </c>
      <c r="B227" s="7"/>
      <c r="C227" s="8"/>
      <c r="D227" s="8"/>
      <c r="E227" s="8"/>
      <c r="F227" s="9"/>
      <c r="G227" s="10" t="str">
        <f aca="false">IF(E227="","",IFERROR(INDEX(Catálogo!$D$5:$D$34,MATCH(E227,Catálogo!$C$5:$C$34,0)),""))</f>
        <v/>
      </c>
      <c r="H227" s="10" t="str">
        <f aca="false">IF(OR(F227="",G227=""),"",F227*G227)</f>
        <v/>
      </c>
      <c r="I227" s="8"/>
      <c r="J227" s="7"/>
      <c r="K227" s="8"/>
      <c r="L227" s="8"/>
      <c r="M227" s="11"/>
      <c r="N227" s="10" t="str">
        <f aca="false">IF(H227="","",IF(K227="Cancelado",0,H227-M227))</f>
        <v/>
      </c>
      <c r="O227" s="10" t="str">
        <f aca="false">IF(OR(F227="",E227=""),"",IFERROR(IF(INDEX(Catálogo!$E$5:$E$34,MATCH(E227,Catálogo!$C$5:$C$34,0))=0,"",F227*INDEX(Catálogo!$E$5:$E$34,MATCH(E227,Catálogo!$C$5:$C$34,0))),""))</f>
        <v/>
      </c>
      <c r="P227" s="10" t="str">
        <f aca="false">IF(OR(H227="",O227=""),"",H227-O227)</f>
        <v/>
      </c>
      <c r="Q227" s="8"/>
      <c r="R227" s="6" t="str">
        <f aca="false">IF(J227="","",YEAR(J227))</f>
        <v/>
      </c>
      <c r="S227" s="6" t="str">
        <f aca="false">IF(J227="","",MONTH(J227))</f>
        <v/>
      </c>
    </row>
    <row r="228" customFormat="false" ht="15" hidden="false" customHeight="false" outlineLevel="0" collapsed="false">
      <c r="A228" s="6" t="str">
        <f aca="false">IF(C228="","",ROW()-5)</f>
        <v/>
      </c>
      <c r="B228" s="7"/>
      <c r="C228" s="8"/>
      <c r="D228" s="8"/>
      <c r="E228" s="8"/>
      <c r="F228" s="9"/>
      <c r="G228" s="10" t="str">
        <f aca="false">IF(E228="","",IFERROR(INDEX(Catálogo!$D$5:$D$34,MATCH(E228,Catálogo!$C$5:$C$34,0)),""))</f>
        <v/>
      </c>
      <c r="H228" s="10" t="str">
        <f aca="false">IF(OR(F228="",G228=""),"",F228*G228)</f>
        <v/>
      </c>
      <c r="I228" s="8"/>
      <c r="J228" s="7"/>
      <c r="K228" s="8"/>
      <c r="L228" s="8"/>
      <c r="M228" s="11"/>
      <c r="N228" s="10" t="str">
        <f aca="false">IF(H228="","",IF(K228="Cancelado",0,H228-M228))</f>
        <v/>
      </c>
      <c r="O228" s="10" t="str">
        <f aca="false">IF(OR(F228="",E228=""),"",IFERROR(IF(INDEX(Catálogo!$E$5:$E$34,MATCH(E228,Catálogo!$C$5:$C$34,0))=0,"",F228*INDEX(Catálogo!$E$5:$E$34,MATCH(E228,Catálogo!$C$5:$C$34,0))),""))</f>
        <v/>
      </c>
      <c r="P228" s="10" t="str">
        <f aca="false">IF(OR(H228="",O228=""),"",H228-O228)</f>
        <v/>
      </c>
      <c r="Q228" s="8"/>
      <c r="R228" s="6" t="str">
        <f aca="false">IF(J228="","",YEAR(J228))</f>
        <v/>
      </c>
      <c r="S228" s="6" t="str">
        <f aca="false">IF(J228="","",MONTH(J228))</f>
        <v/>
      </c>
    </row>
    <row r="229" customFormat="false" ht="15" hidden="false" customHeight="false" outlineLevel="0" collapsed="false">
      <c r="A229" s="6" t="str">
        <f aca="false">IF(C229="","",ROW()-5)</f>
        <v/>
      </c>
      <c r="B229" s="7"/>
      <c r="C229" s="8"/>
      <c r="D229" s="8"/>
      <c r="E229" s="8"/>
      <c r="F229" s="9"/>
      <c r="G229" s="10" t="str">
        <f aca="false">IF(E229="","",IFERROR(INDEX(Catálogo!$D$5:$D$34,MATCH(E229,Catálogo!$C$5:$C$34,0)),""))</f>
        <v/>
      </c>
      <c r="H229" s="10" t="str">
        <f aca="false">IF(OR(F229="",G229=""),"",F229*G229)</f>
        <v/>
      </c>
      <c r="I229" s="8"/>
      <c r="J229" s="7"/>
      <c r="K229" s="8"/>
      <c r="L229" s="8"/>
      <c r="M229" s="11"/>
      <c r="N229" s="10" t="str">
        <f aca="false">IF(H229="","",IF(K229="Cancelado",0,H229-M229))</f>
        <v/>
      </c>
      <c r="O229" s="10" t="str">
        <f aca="false">IF(OR(F229="",E229=""),"",IFERROR(IF(INDEX(Catálogo!$E$5:$E$34,MATCH(E229,Catálogo!$C$5:$C$34,0))=0,"",F229*INDEX(Catálogo!$E$5:$E$34,MATCH(E229,Catálogo!$C$5:$C$34,0))),""))</f>
        <v/>
      </c>
      <c r="P229" s="10" t="str">
        <f aca="false">IF(OR(H229="",O229=""),"",H229-O229)</f>
        <v/>
      </c>
      <c r="Q229" s="8"/>
      <c r="R229" s="6" t="str">
        <f aca="false">IF(J229="","",YEAR(J229))</f>
        <v/>
      </c>
      <c r="S229" s="6" t="str">
        <f aca="false">IF(J229="","",MONTH(J229))</f>
        <v/>
      </c>
    </row>
    <row r="230" customFormat="false" ht="15" hidden="false" customHeight="false" outlineLevel="0" collapsed="false">
      <c r="A230" s="6" t="str">
        <f aca="false">IF(C230="","",ROW()-5)</f>
        <v/>
      </c>
      <c r="B230" s="7"/>
      <c r="C230" s="8"/>
      <c r="D230" s="8"/>
      <c r="E230" s="8"/>
      <c r="F230" s="9"/>
      <c r="G230" s="10" t="str">
        <f aca="false">IF(E230="","",IFERROR(INDEX(Catálogo!$D$5:$D$34,MATCH(E230,Catálogo!$C$5:$C$34,0)),""))</f>
        <v/>
      </c>
      <c r="H230" s="10" t="str">
        <f aca="false">IF(OR(F230="",G230=""),"",F230*G230)</f>
        <v/>
      </c>
      <c r="I230" s="8"/>
      <c r="J230" s="7"/>
      <c r="K230" s="8"/>
      <c r="L230" s="8"/>
      <c r="M230" s="11"/>
      <c r="N230" s="10" t="str">
        <f aca="false">IF(H230="","",IF(K230="Cancelado",0,H230-M230))</f>
        <v/>
      </c>
      <c r="O230" s="10" t="str">
        <f aca="false">IF(OR(F230="",E230=""),"",IFERROR(IF(INDEX(Catálogo!$E$5:$E$34,MATCH(E230,Catálogo!$C$5:$C$34,0))=0,"",F230*INDEX(Catálogo!$E$5:$E$34,MATCH(E230,Catálogo!$C$5:$C$34,0))),""))</f>
        <v/>
      </c>
      <c r="P230" s="10" t="str">
        <f aca="false">IF(OR(H230="",O230=""),"",H230-O230)</f>
        <v/>
      </c>
      <c r="Q230" s="8"/>
      <c r="R230" s="6" t="str">
        <f aca="false">IF(J230="","",YEAR(J230))</f>
        <v/>
      </c>
      <c r="S230" s="6" t="str">
        <f aca="false">IF(J230="","",MONTH(J230))</f>
        <v/>
      </c>
    </row>
    <row r="231" customFormat="false" ht="15" hidden="false" customHeight="false" outlineLevel="0" collapsed="false">
      <c r="A231" s="6" t="str">
        <f aca="false">IF(C231="","",ROW()-5)</f>
        <v/>
      </c>
      <c r="B231" s="7"/>
      <c r="C231" s="8"/>
      <c r="D231" s="8"/>
      <c r="E231" s="8"/>
      <c r="F231" s="9"/>
      <c r="G231" s="10" t="str">
        <f aca="false">IF(E231="","",IFERROR(INDEX(Catálogo!$D$5:$D$34,MATCH(E231,Catálogo!$C$5:$C$34,0)),""))</f>
        <v/>
      </c>
      <c r="H231" s="10" t="str">
        <f aca="false">IF(OR(F231="",G231=""),"",F231*G231)</f>
        <v/>
      </c>
      <c r="I231" s="8"/>
      <c r="J231" s="7"/>
      <c r="K231" s="8"/>
      <c r="L231" s="8"/>
      <c r="M231" s="11"/>
      <c r="N231" s="10" t="str">
        <f aca="false">IF(H231="","",IF(K231="Cancelado",0,H231-M231))</f>
        <v/>
      </c>
      <c r="O231" s="10" t="str">
        <f aca="false">IF(OR(F231="",E231=""),"",IFERROR(IF(INDEX(Catálogo!$E$5:$E$34,MATCH(E231,Catálogo!$C$5:$C$34,0))=0,"",F231*INDEX(Catálogo!$E$5:$E$34,MATCH(E231,Catálogo!$C$5:$C$34,0))),""))</f>
        <v/>
      </c>
      <c r="P231" s="10" t="str">
        <f aca="false">IF(OR(H231="",O231=""),"",H231-O231)</f>
        <v/>
      </c>
      <c r="Q231" s="8"/>
      <c r="R231" s="6" t="str">
        <f aca="false">IF(J231="","",YEAR(J231))</f>
        <v/>
      </c>
      <c r="S231" s="6" t="str">
        <f aca="false">IF(J231="","",MONTH(J231))</f>
        <v/>
      </c>
    </row>
    <row r="232" customFormat="false" ht="15" hidden="false" customHeight="false" outlineLevel="0" collapsed="false">
      <c r="A232" s="6" t="str">
        <f aca="false">IF(C232="","",ROW()-5)</f>
        <v/>
      </c>
      <c r="B232" s="7"/>
      <c r="C232" s="8"/>
      <c r="D232" s="8"/>
      <c r="E232" s="8"/>
      <c r="F232" s="9"/>
      <c r="G232" s="10" t="str">
        <f aca="false">IF(E232="","",IFERROR(INDEX(Catálogo!$D$5:$D$34,MATCH(E232,Catálogo!$C$5:$C$34,0)),""))</f>
        <v/>
      </c>
      <c r="H232" s="10" t="str">
        <f aca="false">IF(OR(F232="",G232=""),"",F232*G232)</f>
        <v/>
      </c>
      <c r="I232" s="8"/>
      <c r="J232" s="7"/>
      <c r="K232" s="8"/>
      <c r="L232" s="8"/>
      <c r="M232" s="11"/>
      <c r="N232" s="10" t="str">
        <f aca="false">IF(H232="","",IF(K232="Cancelado",0,H232-M232))</f>
        <v/>
      </c>
      <c r="O232" s="10" t="str">
        <f aca="false">IF(OR(F232="",E232=""),"",IFERROR(IF(INDEX(Catálogo!$E$5:$E$34,MATCH(E232,Catálogo!$C$5:$C$34,0))=0,"",F232*INDEX(Catálogo!$E$5:$E$34,MATCH(E232,Catálogo!$C$5:$C$34,0))),""))</f>
        <v/>
      </c>
      <c r="P232" s="10" t="str">
        <f aca="false">IF(OR(H232="",O232=""),"",H232-O232)</f>
        <v/>
      </c>
      <c r="Q232" s="8"/>
      <c r="R232" s="6" t="str">
        <f aca="false">IF(J232="","",YEAR(J232))</f>
        <v/>
      </c>
      <c r="S232" s="6" t="str">
        <f aca="false">IF(J232="","",MONTH(J232))</f>
        <v/>
      </c>
    </row>
    <row r="233" customFormat="false" ht="15" hidden="false" customHeight="false" outlineLevel="0" collapsed="false">
      <c r="A233" s="6" t="str">
        <f aca="false">IF(C233="","",ROW()-5)</f>
        <v/>
      </c>
      <c r="B233" s="7"/>
      <c r="C233" s="8"/>
      <c r="D233" s="8"/>
      <c r="E233" s="8"/>
      <c r="F233" s="9"/>
      <c r="G233" s="10" t="str">
        <f aca="false">IF(E233="","",IFERROR(INDEX(Catálogo!$D$5:$D$34,MATCH(E233,Catálogo!$C$5:$C$34,0)),""))</f>
        <v/>
      </c>
      <c r="H233" s="10" t="str">
        <f aca="false">IF(OR(F233="",G233=""),"",F233*G233)</f>
        <v/>
      </c>
      <c r="I233" s="8"/>
      <c r="J233" s="7"/>
      <c r="K233" s="8"/>
      <c r="L233" s="8"/>
      <c r="M233" s="11"/>
      <c r="N233" s="10" t="str">
        <f aca="false">IF(H233="","",IF(K233="Cancelado",0,H233-M233))</f>
        <v/>
      </c>
      <c r="O233" s="10" t="str">
        <f aca="false">IF(OR(F233="",E233=""),"",IFERROR(IF(INDEX(Catálogo!$E$5:$E$34,MATCH(E233,Catálogo!$C$5:$C$34,0))=0,"",F233*INDEX(Catálogo!$E$5:$E$34,MATCH(E233,Catálogo!$C$5:$C$34,0))),""))</f>
        <v/>
      </c>
      <c r="P233" s="10" t="str">
        <f aca="false">IF(OR(H233="",O233=""),"",H233-O233)</f>
        <v/>
      </c>
      <c r="Q233" s="8"/>
      <c r="R233" s="6" t="str">
        <f aca="false">IF(J233="","",YEAR(J233))</f>
        <v/>
      </c>
      <c r="S233" s="6" t="str">
        <f aca="false">IF(J233="","",MONTH(J233))</f>
        <v/>
      </c>
    </row>
    <row r="234" customFormat="false" ht="15" hidden="false" customHeight="false" outlineLevel="0" collapsed="false">
      <c r="A234" s="6" t="str">
        <f aca="false">IF(C234="","",ROW()-5)</f>
        <v/>
      </c>
      <c r="B234" s="7"/>
      <c r="C234" s="8"/>
      <c r="D234" s="8"/>
      <c r="E234" s="8"/>
      <c r="F234" s="9"/>
      <c r="G234" s="10" t="str">
        <f aca="false">IF(E234="","",IFERROR(INDEX(Catálogo!$D$5:$D$34,MATCH(E234,Catálogo!$C$5:$C$34,0)),""))</f>
        <v/>
      </c>
      <c r="H234" s="10" t="str">
        <f aca="false">IF(OR(F234="",G234=""),"",F234*G234)</f>
        <v/>
      </c>
      <c r="I234" s="8"/>
      <c r="J234" s="7"/>
      <c r="K234" s="8"/>
      <c r="L234" s="8"/>
      <c r="M234" s="11"/>
      <c r="N234" s="10" t="str">
        <f aca="false">IF(H234="","",IF(K234="Cancelado",0,H234-M234))</f>
        <v/>
      </c>
      <c r="O234" s="10" t="str">
        <f aca="false">IF(OR(F234="",E234=""),"",IFERROR(IF(INDEX(Catálogo!$E$5:$E$34,MATCH(E234,Catálogo!$C$5:$C$34,0))=0,"",F234*INDEX(Catálogo!$E$5:$E$34,MATCH(E234,Catálogo!$C$5:$C$34,0))),""))</f>
        <v/>
      </c>
      <c r="P234" s="10" t="str">
        <f aca="false">IF(OR(H234="",O234=""),"",H234-O234)</f>
        <v/>
      </c>
      <c r="Q234" s="8"/>
      <c r="R234" s="6" t="str">
        <f aca="false">IF(J234="","",YEAR(J234))</f>
        <v/>
      </c>
      <c r="S234" s="6" t="str">
        <f aca="false">IF(J234="","",MONTH(J234))</f>
        <v/>
      </c>
    </row>
    <row r="235" customFormat="false" ht="15" hidden="false" customHeight="false" outlineLevel="0" collapsed="false">
      <c r="A235" s="6" t="str">
        <f aca="false">IF(C235="","",ROW()-5)</f>
        <v/>
      </c>
      <c r="B235" s="7"/>
      <c r="C235" s="8"/>
      <c r="D235" s="8"/>
      <c r="E235" s="8"/>
      <c r="F235" s="9"/>
      <c r="G235" s="10" t="str">
        <f aca="false">IF(E235="","",IFERROR(INDEX(Catálogo!$D$5:$D$34,MATCH(E235,Catálogo!$C$5:$C$34,0)),""))</f>
        <v/>
      </c>
      <c r="H235" s="10" t="str">
        <f aca="false">IF(OR(F235="",G235=""),"",F235*G235)</f>
        <v/>
      </c>
      <c r="I235" s="8"/>
      <c r="J235" s="7"/>
      <c r="K235" s="8"/>
      <c r="L235" s="8"/>
      <c r="M235" s="11"/>
      <c r="N235" s="10" t="str">
        <f aca="false">IF(H235="","",IF(K235="Cancelado",0,H235-M235))</f>
        <v/>
      </c>
      <c r="O235" s="10" t="str">
        <f aca="false">IF(OR(F235="",E235=""),"",IFERROR(IF(INDEX(Catálogo!$E$5:$E$34,MATCH(E235,Catálogo!$C$5:$C$34,0))=0,"",F235*INDEX(Catálogo!$E$5:$E$34,MATCH(E235,Catálogo!$C$5:$C$34,0))),""))</f>
        <v/>
      </c>
      <c r="P235" s="10" t="str">
        <f aca="false">IF(OR(H235="",O235=""),"",H235-O235)</f>
        <v/>
      </c>
      <c r="Q235" s="8"/>
      <c r="R235" s="6" t="str">
        <f aca="false">IF(J235="","",YEAR(J235))</f>
        <v/>
      </c>
      <c r="S235" s="6" t="str">
        <f aca="false">IF(J235="","",MONTH(J235))</f>
        <v/>
      </c>
    </row>
    <row r="236" customFormat="false" ht="15" hidden="false" customHeight="false" outlineLevel="0" collapsed="false">
      <c r="A236" s="6" t="str">
        <f aca="false">IF(C236="","",ROW()-5)</f>
        <v/>
      </c>
      <c r="B236" s="7"/>
      <c r="C236" s="8"/>
      <c r="D236" s="8"/>
      <c r="E236" s="8"/>
      <c r="F236" s="9"/>
      <c r="G236" s="10" t="str">
        <f aca="false">IF(E236="","",IFERROR(INDEX(Catálogo!$D$5:$D$34,MATCH(E236,Catálogo!$C$5:$C$34,0)),""))</f>
        <v/>
      </c>
      <c r="H236" s="10" t="str">
        <f aca="false">IF(OR(F236="",G236=""),"",F236*G236)</f>
        <v/>
      </c>
      <c r="I236" s="8"/>
      <c r="J236" s="7"/>
      <c r="K236" s="8"/>
      <c r="L236" s="8"/>
      <c r="M236" s="11"/>
      <c r="N236" s="10" t="str">
        <f aca="false">IF(H236="","",IF(K236="Cancelado",0,H236-M236))</f>
        <v/>
      </c>
      <c r="O236" s="10" t="str">
        <f aca="false">IF(OR(F236="",E236=""),"",IFERROR(IF(INDEX(Catálogo!$E$5:$E$34,MATCH(E236,Catálogo!$C$5:$C$34,0))=0,"",F236*INDEX(Catálogo!$E$5:$E$34,MATCH(E236,Catálogo!$C$5:$C$34,0))),""))</f>
        <v/>
      </c>
      <c r="P236" s="10" t="str">
        <f aca="false">IF(OR(H236="",O236=""),"",H236-O236)</f>
        <v/>
      </c>
      <c r="Q236" s="8"/>
      <c r="R236" s="6" t="str">
        <f aca="false">IF(J236="","",YEAR(J236))</f>
        <v/>
      </c>
      <c r="S236" s="6" t="str">
        <f aca="false">IF(J236="","",MONTH(J236))</f>
        <v/>
      </c>
    </row>
    <row r="237" customFormat="false" ht="15" hidden="false" customHeight="false" outlineLevel="0" collapsed="false">
      <c r="A237" s="6" t="str">
        <f aca="false">IF(C237="","",ROW()-5)</f>
        <v/>
      </c>
      <c r="B237" s="7"/>
      <c r="C237" s="8"/>
      <c r="D237" s="8"/>
      <c r="E237" s="8"/>
      <c r="F237" s="9"/>
      <c r="G237" s="10" t="str">
        <f aca="false">IF(E237="","",IFERROR(INDEX(Catálogo!$D$5:$D$34,MATCH(E237,Catálogo!$C$5:$C$34,0)),""))</f>
        <v/>
      </c>
      <c r="H237" s="10" t="str">
        <f aca="false">IF(OR(F237="",G237=""),"",F237*G237)</f>
        <v/>
      </c>
      <c r="I237" s="8"/>
      <c r="J237" s="7"/>
      <c r="K237" s="8"/>
      <c r="L237" s="8"/>
      <c r="M237" s="11"/>
      <c r="N237" s="10" t="str">
        <f aca="false">IF(H237="","",IF(K237="Cancelado",0,H237-M237))</f>
        <v/>
      </c>
      <c r="O237" s="10" t="str">
        <f aca="false">IF(OR(F237="",E237=""),"",IFERROR(IF(INDEX(Catálogo!$E$5:$E$34,MATCH(E237,Catálogo!$C$5:$C$34,0))=0,"",F237*INDEX(Catálogo!$E$5:$E$34,MATCH(E237,Catálogo!$C$5:$C$34,0))),""))</f>
        <v/>
      </c>
      <c r="P237" s="10" t="str">
        <f aca="false">IF(OR(H237="",O237=""),"",H237-O237)</f>
        <v/>
      </c>
      <c r="Q237" s="8"/>
      <c r="R237" s="6" t="str">
        <f aca="false">IF(J237="","",YEAR(J237))</f>
        <v/>
      </c>
      <c r="S237" s="6" t="str">
        <f aca="false">IF(J237="","",MONTH(J237))</f>
        <v/>
      </c>
    </row>
    <row r="238" customFormat="false" ht="15" hidden="false" customHeight="false" outlineLevel="0" collapsed="false">
      <c r="A238" s="6" t="str">
        <f aca="false">IF(C238="","",ROW()-5)</f>
        <v/>
      </c>
      <c r="B238" s="7"/>
      <c r="C238" s="8"/>
      <c r="D238" s="8"/>
      <c r="E238" s="8"/>
      <c r="F238" s="9"/>
      <c r="G238" s="10" t="str">
        <f aca="false">IF(E238="","",IFERROR(INDEX(Catálogo!$D$5:$D$34,MATCH(E238,Catálogo!$C$5:$C$34,0)),""))</f>
        <v/>
      </c>
      <c r="H238" s="10" t="str">
        <f aca="false">IF(OR(F238="",G238=""),"",F238*G238)</f>
        <v/>
      </c>
      <c r="I238" s="8"/>
      <c r="J238" s="7"/>
      <c r="K238" s="8"/>
      <c r="L238" s="8"/>
      <c r="M238" s="11"/>
      <c r="N238" s="10" t="str">
        <f aca="false">IF(H238="","",IF(K238="Cancelado",0,H238-M238))</f>
        <v/>
      </c>
      <c r="O238" s="10" t="str">
        <f aca="false">IF(OR(F238="",E238=""),"",IFERROR(IF(INDEX(Catálogo!$E$5:$E$34,MATCH(E238,Catálogo!$C$5:$C$34,0))=0,"",F238*INDEX(Catálogo!$E$5:$E$34,MATCH(E238,Catálogo!$C$5:$C$34,0))),""))</f>
        <v/>
      </c>
      <c r="P238" s="10" t="str">
        <f aca="false">IF(OR(H238="",O238=""),"",H238-O238)</f>
        <v/>
      </c>
      <c r="Q238" s="8"/>
      <c r="R238" s="6" t="str">
        <f aca="false">IF(J238="","",YEAR(J238))</f>
        <v/>
      </c>
      <c r="S238" s="6" t="str">
        <f aca="false">IF(J238="","",MONTH(J238))</f>
        <v/>
      </c>
    </row>
    <row r="239" customFormat="false" ht="15" hidden="false" customHeight="false" outlineLevel="0" collapsed="false">
      <c r="A239" s="6" t="str">
        <f aca="false">IF(C239="","",ROW()-5)</f>
        <v/>
      </c>
      <c r="B239" s="7"/>
      <c r="C239" s="8"/>
      <c r="D239" s="8"/>
      <c r="E239" s="8"/>
      <c r="F239" s="9"/>
      <c r="G239" s="10" t="str">
        <f aca="false">IF(E239="","",IFERROR(INDEX(Catálogo!$D$5:$D$34,MATCH(E239,Catálogo!$C$5:$C$34,0)),""))</f>
        <v/>
      </c>
      <c r="H239" s="10" t="str">
        <f aca="false">IF(OR(F239="",G239=""),"",F239*G239)</f>
        <v/>
      </c>
      <c r="I239" s="8"/>
      <c r="J239" s="7"/>
      <c r="K239" s="8"/>
      <c r="L239" s="8"/>
      <c r="M239" s="11"/>
      <c r="N239" s="10" t="str">
        <f aca="false">IF(H239="","",IF(K239="Cancelado",0,H239-M239))</f>
        <v/>
      </c>
      <c r="O239" s="10" t="str">
        <f aca="false">IF(OR(F239="",E239=""),"",IFERROR(IF(INDEX(Catálogo!$E$5:$E$34,MATCH(E239,Catálogo!$C$5:$C$34,0))=0,"",F239*INDEX(Catálogo!$E$5:$E$34,MATCH(E239,Catálogo!$C$5:$C$34,0))),""))</f>
        <v/>
      </c>
      <c r="P239" s="10" t="str">
        <f aca="false">IF(OR(H239="",O239=""),"",H239-O239)</f>
        <v/>
      </c>
      <c r="Q239" s="8"/>
      <c r="R239" s="6" t="str">
        <f aca="false">IF(J239="","",YEAR(J239))</f>
        <v/>
      </c>
      <c r="S239" s="6" t="str">
        <f aca="false">IF(J239="","",MONTH(J239))</f>
        <v/>
      </c>
    </row>
    <row r="240" customFormat="false" ht="15" hidden="false" customHeight="false" outlineLevel="0" collapsed="false">
      <c r="A240" s="6" t="str">
        <f aca="false">IF(C240="","",ROW()-5)</f>
        <v/>
      </c>
      <c r="B240" s="7"/>
      <c r="C240" s="8"/>
      <c r="D240" s="8"/>
      <c r="E240" s="8"/>
      <c r="F240" s="9"/>
      <c r="G240" s="10" t="str">
        <f aca="false">IF(E240="","",IFERROR(INDEX(Catálogo!$D$5:$D$34,MATCH(E240,Catálogo!$C$5:$C$34,0)),""))</f>
        <v/>
      </c>
      <c r="H240" s="10" t="str">
        <f aca="false">IF(OR(F240="",G240=""),"",F240*G240)</f>
        <v/>
      </c>
      <c r="I240" s="8"/>
      <c r="J240" s="7"/>
      <c r="K240" s="8"/>
      <c r="L240" s="8"/>
      <c r="M240" s="11"/>
      <c r="N240" s="10" t="str">
        <f aca="false">IF(H240="","",IF(K240="Cancelado",0,H240-M240))</f>
        <v/>
      </c>
      <c r="O240" s="10" t="str">
        <f aca="false">IF(OR(F240="",E240=""),"",IFERROR(IF(INDEX(Catálogo!$E$5:$E$34,MATCH(E240,Catálogo!$C$5:$C$34,0))=0,"",F240*INDEX(Catálogo!$E$5:$E$34,MATCH(E240,Catálogo!$C$5:$C$34,0))),""))</f>
        <v/>
      </c>
      <c r="P240" s="10" t="str">
        <f aca="false">IF(OR(H240="",O240=""),"",H240-O240)</f>
        <v/>
      </c>
      <c r="Q240" s="8"/>
      <c r="R240" s="6" t="str">
        <f aca="false">IF(J240="","",YEAR(J240))</f>
        <v/>
      </c>
      <c r="S240" s="6" t="str">
        <f aca="false">IF(J240="","",MONTH(J240))</f>
        <v/>
      </c>
    </row>
    <row r="241" customFormat="false" ht="15" hidden="false" customHeight="false" outlineLevel="0" collapsed="false">
      <c r="A241" s="6" t="str">
        <f aca="false">IF(C241="","",ROW()-5)</f>
        <v/>
      </c>
      <c r="B241" s="7"/>
      <c r="C241" s="8"/>
      <c r="D241" s="8"/>
      <c r="E241" s="8"/>
      <c r="F241" s="9"/>
      <c r="G241" s="10" t="str">
        <f aca="false">IF(E241="","",IFERROR(INDEX(Catálogo!$D$5:$D$34,MATCH(E241,Catálogo!$C$5:$C$34,0)),""))</f>
        <v/>
      </c>
      <c r="H241" s="10" t="str">
        <f aca="false">IF(OR(F241="",G241=""),"",F241*G241)</f>
        <v/>
      </c>
      <c r="I241" s="8"/>
      <c r="J241" s="7"/>
      <c r="K241" s="8"/>
      <c r="L241" s="8"/>
      <c r="M241" s="11"/>
      <c r="N241" s="10" t="str">
        <f aca="false">IF(H241="","",IF(K241="Cancelado",0,H241-M241))</f>
        <v/>
      </c>
      <c r="O241" s="10" t="str">
        <f aca="false">IF(OR(F241="",E241=""),"",IFERROR(IF(INDEX(Catálogo!$E$5:$E$34,MATCH(E241,Catálogo!$C$5:$C$34,0))=0,"",F241*INDEX(Catálogo!$E$5:$E$34,MATCH(E241,Catálogo!$C$5:$C$34,0))),""))</f>
        <v/>
      </c>
      <c r="P241" s="10" t="str">
        <f aca="false">IF(OR(H241="",O241=""),"",H241-O241)</f>
        <v/>
      </c>
      <c r="Q241" s="8"/>
      <c r="R241" s="6" t="str">
        <f aca="false">IF(J241="","",YEAR(J241))</f>
        <v/>
      </c>
      <c r="S241" s="6" t="str">
        <f aca="false">IF(J241="","",MONTH(J241))</f>
        <v/>
      </c>
    </row>
    <row r="242" customFormat="false" ht="15" hidden="false" customHeight="false" outlineLevel="0" collapsed="false">
      <c r="A242" s="6" t="str">
        <f aca="false">IF(C242="","",ROW()-5)</f>
        <v/>
      </c>
      <c r="B242" s="7"/>
      <c r="C242" s="8"/>
      <c r="D242" s="8"/>
      <c r="E242" s="8"/>
      <c r="F242" s="9"/>
      <c r="G242" s="10" t="str">
        <f aca="false">IF(E242="","",IFERROR(INDEX(Catálogo!$D$5:$D$34,MATCH(E242,Catálogo!$C$5:$C$34,0)),""))</f>
        <v/>
      </c>
      <c r="H242" s="10" t="str">
        <f aca="false">IF(OR(F242="",G242=""),"",F242*G242)</f>
        <v/>
      </c>
      <c r="I242" s="8"/>
      <c r="J242" s="7"/>
      <c r="K242" s="8"/>
      <c r="L242" s="8"/>
      <c r="M242" s="11"/>
      <c r="N242" s="10" t="str">
        <f aca="false">IF(H242="","",IF(K242="Cancelado",0,H242-M242))</f>
        <v/>
      </c>
      <c r="O242" s="10" t="str">
        <f aca="false">IF(OR(F242="",E242=""),"",IFERROR(IF(INDEX(Catálogo!$E$5:$E$34,MATCH(E242,Catálogo!$C$5:$C$34,0))=0,"",F242*INDEX(Catálogo!$E$5:$E$34,MATCH(E242,Catálogo!$C$5:$C$34,0))),""))</f>
        <v/>
      </c>
      <c r="P242" s="10" t="str">
        <f aca="false">IF(OR(H242="",O242=""),"",H242-O242)</f>
        <v/>
      </c>
      <c r="Q242" s="8"/>
      <c r="R242" s="6" t="str">
        <f aca="false">IF(J242="","",YEAR(J242))</f>
        <v/>
      </c>
      <c r="S242" s="6" t="str">
        <f aca="false">IF(J242="","",MONTH(J242))</f>
        <v/>
      </c>
    </row>
    <row r="243" customFormat="false" ht="15" hidden="false" customHeight="false" outlineLevel="0" collapsed="false">
      <c r="A243" s="6" t="str">
        <f aca="false">IF(C243="","",ROW()-5)</f>
        <v/>
      </c>
      <c r="B243" s="7"/>
      <c r="C243" s="8"/>
      <c r="D243" s="8"/>
      <c r="E243" s="8"/>
      <c r="F243" s="9"/>
      <c r="G243" s="10" t="str">
        <f aca="false">IF(E243="","",IFERROR(INDEX(Catálogo!$D$5:$D$34,MATCH(E243,Catálogo!$C$5:$C$34,0)),""))</f>
        <v/>
      </c>
      <c r="H243" s="10" t="str">
        <f aca="false">IF(OR(F243="",G243=""),"",F243*G243)</f>
        <v/>
      </c>
      <c r="I243" s="8"/>
      <c r="J243" s="7"/>
      <c r="K243" s="8"/>
      <c r="L243" s="8"/>
      <c r="M243" s="11"/>
      <c r="N243" s="10" t="str">
        <f aca="false">IF(H243="","",IF(K243="Cancelado",0,H243-M243))</f>
        <v/>
      </c>
      <c r="O243" s="10" t="str">
        <f aca="false">IF(OR(F243="",E243=""),"",IFERROR(IF(INDEX(Catálogo!$E$5:$E$34,MATCH(E243,Catálogo!$C$5:$C$34,0))=0,"",F243*INDEX(Catálogo!$E$5:$E$34,MATCH(E243,Catálogo!$C$5:$C$34,0))),""))</f>
        <v/>
      </c>
      <c r="P243" s="10" t="str">
        <f aca="false">IF(OR(H243="",O243=""),"",H243-O243)</f>
        <v/>
      </c>
      <c r="Q243" s="8"/>
      <c r="R243" s="6" t="str">
        <f aca="false">IF(J243="","",YEAR(J243))</f>
        <v/>
      </c>
      <c r="S243" s="6" t="str">
        <f aca="false">IF(J243="","",MONTH(J243))</f>
        <v/>
      </c>
    </row>
    <row r="244" customFormat="false" ht="15" hidden="false" customHeight="false" outlineLevel="0" collapsed="false">
      <c r="A244" s="6" t="str">
        <f aca="false">IF(C244="","",ROW()-5)</f>
        <v/>
      </c>
      <c r="B244" s="7"/>
      <c r="C244" s="8"/>
      <c r="D244" s="8"/>
      <c r="E244" s="8"/>
      <c r="F244" s="9"/>
      <c r="G244" s="10" t="str">
        <f aca="false">IF(E244="","",IFERROR(INDEX(Catálogo!$D$5:$D$34,MATCH(E244,Catálogo!$C$5:$C$34,0)),""))</f>
        <v/>
      </c>
      <c r="H244" s="10" t="str">
        <f aca="false">IF(OR(F244="",G244=""),"",F244*G244)</f>
        <v/>
      </c>
      <c r="I244" s="8"/>
      <c r="J244" s="7"/>
      <c r="K244" s="8"/>
      <c r="L244" s="8"/>
      <c r="M244" s="11"/>
      <c r="N244" s="10" t="str">
        <f aca="false">IF(H244="","",IF(K244="Cancelado",0,H244-M244))</f>
        <v/>
      </c>
      <c r="O244" s="10" t="str">
        <f aca="false">IF(OR(F244="",E244=""),"",IFERROR(IF(INDEX(Catálogo!$E$5:$E$34,MATCH(E244,Catálogo!$C$5:$C$34,0))=0,"",F244*INDEX(Catálogo!$E$5:$E$34,MATCH(E244,Catálogo!$C$5:$C$34,0))),""))</f>
        <v/>
      </c>
      <c r="P244" s="10" t="str">
        <f aca="false">IF(OR(H244="",O244=""),"",H244-O244)</f>
        <v/>
      </c>
      <c r="Q244" s="8"/>
      <c r="R244" s="6" t="str">
        <f aca="false">IF(J244="","",YEAR(J244))</f>
        <v/>
      </c>
      <c r="S244" s="6" t="str">
        <f aca="false">IF(J244="","",MONTH(J244))</f>
        <v/>
      </c>
    </row>
    <row r="245" customFormat="false" ht="15" hidden="false" customHeight="false" outlineLevel="0" collapsed="false">
      <c r="A245" s="6" t="str">
        <f aca="false">IF(C245="","",ROW()-5)</f>
        <v/>
      </c>
      <c r="B245" s="7"/>
      <c r="C245" s="8"/>
      <c r="D245" s="8"/>
      <c r="E245" s="8"/>
      <c r="F245" s="9"/>
      <c r="G245" s="10" t="str">
        <f aca="false">IF(E245="","",IFERROR(INDEX(Catálogo!$D$5:$D$34,MATCH(E245,Catálogo!$C$5:$C$34,0)),""))</f>
        <v/>
      </c>
      <c r="H245" s="10" t="str">
        <f aca="false">IF(OR(F245="",G245=""),"",F245*G245)</f>
        <v/>
      </c>
      <c r="I245" s="8"/>
      <c r="J245" s="7"/>
      <c r="K245" s="8"/>
      <c r="L245" s="8"/>
      <c r="M245" s="11"/>
      <c r="N245" s="10" t="str">
        <f aca="false">IF(H245="","",IF(K245="Cancelado",0,H245-M245))</f>
        <v/>
      </c>
      <c r="O245" s="10" t="str">
        <f aca="false">IF(OR(F245="",E245=""),"",IFERROR(IF(INDEX(Catálogo!$E$5:$E$34,MATCH(E245,Catálogo!$C$5:$C$34,0))=0,"",F245*INDEX(Catálogo!$E$5:$E$34,MATCH(E245,Catálogo!$C$5:$C$34,0))),""))</f>
        <v/>
      </c>
      <c r="P245" s="10" t="str">
        <f aca="false">IF(OR(H245="",O245=""),"",H245-O245)</f>
        <v/>
      </c>
      <c r="Q245" s="8"/>
      <c r="R245" s="6" t="str">
        <f aca="false">IF(J245="","",YEAR(J245))</f>
        <v/>
      </c>
      <c r="S245" s="6" t="str">
        <f aca="false">IF(J245="","",MONTH(J245))</f>
        <v/>
      </c>
    </row>
    <row r="246" customFormat="false" ht="15" hidden="false" customHeight="false" outlineLevel="0" collapsed="false">
      <c r="A246" s="6" t="str">
        <f aca="false">IF(C246="","",ROW()-5)</f>
        <v/>
      </c>
      <c r="B246" s="7"/>
      <c r="C246" s="8"/>
      <c r="D246" s="8"/>
      <c r="E246" s="8"/>
      <c r="F246" s="9"/>
      <c r="G246" s="10" t="str">
        <f aca="false">IF(E246="","",IFERROR(INDEX(Catálogo!$D$5:$D$34,MATCH(E246,Catálogo!$C$5:$C$34,0)),""))</f>
        <v/>
      </c>
      <c r="H246" s="10" t="str">
        <f aca="false">IF(OR(F246="",G246=""),"",F246*G246)</f>
        <v/>
      </c>
      <c r="I246" s="8"/>
      <c r="J246" s="7"/>
      <c r="K246" s="8"/>
      <c r="L246" s="8"/>
      <c r="M246" s="11"/>
      <c r="N246" s="10" t="str">
        <f aca="false">IF(H246="","",IF(K246="Cancelado",0,H246-M246))</f>
        <v/>
      </c>
      <c r="O246" s="10" t="str">
        <f aca="false">IF(OR(F246="",E246=""),"",IFERROR(IF(INDEX(Catálogo!$E$5:$E$34,MATCH(E246,Catálogo!$C$5:$C$34,0))=0,"",F246*INDEX(Catálogo!$E$5:$E$34,MATCH(E246,Catálogo!$C$5:$C$34,0))),""))</f>
        <v/>
      </c>
      <c r="P246" s="10" t="str">
        <f aca="false">IF(OR(H246="",O246=""),"",H246-O246)</f>
        <v/>
      </c>
      <c r="Q246" s="8"/>
      <c r="R246" s="6" t="str">
        <f aca="false">IF(J246="","",YEAR(J246))</f>
        <v/>
      </c>
      <c r="S246" s="6" t="str">
        <f aca="false">IF(J246="","",MONTH(J246))</f>
        <v/>
      </c>
    </row>
    <row r="247" customFormat="false" ht="15" hidden="false" customHeight="false" outlineLevel="0" collapsed="false">
      <c r="A247" s="6" t="str">
        <f aca="false">IF(C247="","",ROW()-5)</f>
        <v/>
      </c>
      <c r="B247" s="7"/>
      <c r="C247" s="8"/>
      <c r="D247" s="8"/>
      <c r="E247" s="8"/>
      <c r="F247" s="9"/>
      <c r="G247" s="10" t="str">
        <f aca="false">IF(E247="","",IFERROR(INDEX(Catálogo!$D$5:$D$34,MATCH(E247,Catálogo!$C$5:$C$34,0)),""))</f>
        <v/>
      </c>
      <c r="H247" s="10" t="str">
        <f aca="false">IF(OR(F247="",G247=""),"",F247*G247)</f>
        <v/>
      </c>
      <c r="I247" s="8"/>
      <c r="J247" s="7"/>
      <c r="K247" s="8"/>
      <c r="L247" s="8"/>
      <c r="M247" s="11"/>
      <c r="N247" s="10" t="str">
        <f aca="false">IF(H247="","",IF(K247="Cancelado",0,H247-M247))</f>
        <v/>
      </c>
      <c r="O247" s="10" t="str">
        <f aca="false">IF(OR(F247="",E247=""),"",IFERROR(IF(INDEX(Catálogo!$E$5:$E$34,MATCH(E247,Catálogo!$C$5:$C$34,0))=0,"",F247*INDEX(Catálogo!$E$5:$E$34,MATCH(E247,Catálogo!$C$5:$C$34,0))),""))</f>
        <v/>
      </c>
      <c r="P247" s="10" t="str">
        <f aca="false">IF(OR(H247="",O247=""),"",H247-O247)</f>
        <v/>
      </c>
      <c r="Q247" s="8"/>
      <c r="R247" s="6" t="str">
        <f aca="false">IF(J247="","",YEAR(J247))</f>
        <v/>
      </c>
      <c r="S247" s="6" t="str">
        <f aca="false">IF(J247="","",MONTH(J247))</f>
        <v/>
      </c>
    </row>
    <row r="248" customFormat="false" ht="15" hidden="false" customHeight="false" outlineLevel="0" collapsed="false">
      <c r="A248" s="6" t="str">
        <f aca="false">IF(C248="","",ROW()-5)</f>
        <v/>
      </c>
      <c r="B248" s="7"/>
      <c r="C248" s="8"/>
      <c r="D248" s="8"/>
      <c r="E248" s="8"/>
      <c r="F248" s="9"/>
      <c r="G248" s="10" t="str">
        <f aca="false">IF(E248="","",IFERROR(INDEX(Catálogo!$D$5:$D$34,MATCH(E248,Catálogo!$C$5:$C$34,0)),""))</f>
        <v/>
      </c>
      <c r="H248" s="10" t="str">
        <f aca="false">IF(OR(F248="",G248=""),"",F248*G248)</f>
        <v/>
      </c>
      <c r="I248" s="8"/>
      <c r="J248" s="7"/>
      <c r="K248" s="8"/>
      <c r="L248" s="8"/>
      <c r="M248" s="11"/>
      <c r="N248" s="10" t="str">
        <f aca="false">IF(H248="","",IF(K248="Cancelado",0,H248-M248))</f>
        <v/>
      </c>
      <c r="O248" s="10" t="str">
        <f aca="false">IF(OR(F248="",E248=""),"",IFERROR(IF(INDEX(Catálogo!$E$5:$E$34,MATCH(E248,Catálogo!$C$5:$C$34,0))=0,"",F248*INDEX(Catálogo!$E$5:$E$34,MATCH(E248,Catálogo!$C$5:$C$34,0))),""))</f>
        <v/>
      </c>
      <c r="P248" s="10" t="str">
        <f aca="false">IF(OR(H248="",O248=""),"",H248-O248)</f>
        <v/>
      </c>
      <c r="Q248" s="8"/>
      <c r="R248" s="6" t="str">
        <f aca="false">IF(J248="","",YEAR(J248))</f>
        <v/>
      </c>
      <c r="S248" s="6" t="str">
        <f aca="false">IF(J248="","",MONTH(J248))</f>
        <v/>
      </c>
    </row>
    <row r="249" customFormat="false" ht="15" hidden="false" customHeight="false" outlineLevel="0" collapsed="false">
      <c r="A249" s="6" t="str">
        <f aca="false">IF(C249="","",ROW()-5)</f>
        <v/>
      </c>
      <c r="B249" s="7"/>
      <c r="C249" s="8"/>
      <c r="D249" s="8"/>
      <c r="E249" s="8"/>
      <c r="F249" s="9"/>
      <c r="G249" s="10" t="str">
        <f aca="false">IF(E249="","",IFERROR(INDEX(Catálogo!$D$5:$D$34,MATCH(E249,Catálogo!$C$5:$C$34,0)),""))</f>
        <v/>
      </c>
      <c r="H249" s="10" t="str">
        <f aca="false">IF(OR(F249="",G249=""),"",F249*G249)</f>
        <v/>
      </c>
      <c r="I249" s="8"/>
      <c r="J249" s="7"/>
      <c r="K249" s="8"/>
      <c r="L249" s="8"/>
      <c r="M249" s="11"/>
      <c r="N249" s="10" t="str">
        <f aca="false">IF(H249="","",IF(K249="Cancelado",0,H249-M249))</f>
        <v/>
      </c>
      <c r="O249" s="10" t="str">
        <f aca="false">IF(OR(F249="",E249=""),"",IFERROR(IF(INDEX(Catálogo!$E$5:$E$34,MATCH(E249,Catálogo!$C$5:$C$34,0))=0,"",F249*INDEX(Catálogo!$E$5:$E$34,MATCH(E249,Catálogo!$C$5:$C$34,0))),""))</f>
        <v/>
      </c>
      <c r="P249" s="10" t="str">
        <f aca="false">IF(OR(H249="",O249=""),"",H249-O249)</f>
        <v/>
      </c>
      <c r="Q249" s="8"/>
      <c r="R249" s="6" t="str">
        <f aca="false">IF(J249="","",YEAR(J249))</f>
        <v/>
      </c>
      <c r="S249" s="6" t="str">
        <f aca="false">IF(J249="","",MONTH(J249))</f>
        <v/>
      </c>
    </row>
    <row r="250" customFormat="false" ht="15" hidden="false" customHeight="false" outlineLevel="0" collapsed="false">
      <c r="A250" s="6" t="str">
        <f aca="false">IF(C250="","",ROW()-5)</f>
        <v/>
      </c>
      <c r="B250" s="7"/>
      <c r="C250" s="8"/>
      <c r="D250" s="8"/>
      <c r="E250" s="8"/>
      <c r="F250" s="9"/>
      <c r="G250" s="10" t="str">
        <f aca="false">IF(E250="","",IFERROR(INDEX(Catálogo!$D$5:$D$34,MATCH(E250,Catálogo!$C$5:$C$34,0)),""))</f>
        <v/>
      </c>
      <c r="H250" s="10" t="str">
        <f aca="false">IF(OR(F250="",G250=""),"",F250*G250)</f>
        <v/>
      </c>
      <c r="I250" s="8"/>
      <c r="J250" s="7"/>
      <c r="K250" s="8"/>
      <c r="L250" s="8"/>
      <c r="M250" s="11"/>
      <c r="N250" s="10" t="str">
        <f aca="false">IF(H250="","",IF(K250="Cancelado",0,H250-M250))</f>
        <v/>
      </c>
      <c r="O250" s="10" t="str">
        <f aca="false">IF(OR(F250="",E250=""),"",IFERROR(IF(INDEX(Catálogo!$E$5:$E$34,MATCH(E250,Catálogo!$C$5:$C$34,0))=0,"",F250*INDEX(Catálogo!$E$5:$E$34,MATCH(E250,Catálogo!$C$5:$C$34,0))),""))</f>
        <v/>
      </c>
      <c r="P250" s="10" t="str">
        <f aca="false">IF(OR(H250="",O250=""),"",H250-O250)</f>
        <v/>
      </c>
      <c r="Q250" s="8"/>
      <c r="R250" s="6" t="str">
        <f aca="false">IF(J250="","",YEAR(J250))</f>
        <v/>
      </c>
      <c r="S250" s="6" t="str">
        <f aca="false">IF(J250="","",MONTH(J250))</f>
        <v/>
      </c>
    </row>
    <row r="251" customFormat="false" ht="15" hidden="false" customHeight="false" outlineLevel="0" collapsed="false">
      <c r="A251" s="6" t="str">
        <f aca="false">IF(C251="","",ROW()-5)</f>
        <v/>
      </c>
      <c r="B251" s="7"/>
      <c r="C251" s="8"/>
      <c r="D251" s="8"/>
      <c r="E251" s="8"/>
      <c r="F251" s="9"/>
      <c r="G251" s="10" t="str">
        <f aca="false">IF(E251="","",IFERROR(INDEX(Catálogo!$D$5:$D$34,MATCH(E251,Catálogo!$C$5:$C$34,0)),""))</f>
        <v/>
      </c>
      <c r="H251" s="10" t="str">
        <f aca="false">IF(OR(F251="",G251=""),"",F251*G251)</f>
        <v/>
      </c>
      <c r="I251" s="8"/>
      <c r="J251" s="7"/>
      <c r="K251" s="8"/>
      <c r="L251" s="8"/>
      <c r="M251" s="11"/>
      <c r="N251" s="10" t="str">
        <f aca="false">IF(H251="","",IF(K251="Cancelado",0,H251-M251))</f>
        <v/>
      </c>
      <c r="O251" s="10" t="str">
        <f aca="false">IF(OR(F251="",E251=""),"",IFERROR(IF(INDEX(Catálogo!$E$5:$E$34,MATCH(E251,Catálogo!$C$5:$C$34,0))=0,"",F251*INDEX(Catálogo!$E$5:$E$34,MATCH(E251,Catálogo!$C$5:$C$34,0))),""))</f>
        <v/>
      </c>
      <c r="P251" s="10" t="str">
        <f aca="false">IF(OR(H251="",O251=""),"",H251-O251)</f>
        <v/>
      </c>
      <c r="Q251" s="8"/>
      <c r="R251" s="6" t="str">
        <f aca="false">IF(J251="","",YEAR(J251))</f>
        <v/>
      </c>
      <c r="S251" s="6" t="str">
        <f aca="false">IF(J251="","",MONTH(J251))</f>
        <v/>
      </c>
    </row>
    <row r="252" customFormat="false" ht="15" hidden="false" customHeight="false" outlineLevel="0" collapsed="false">
      <c r="A252" s="6" t="str">
        <f aca="false">IF(C252="","",ROW()-5)</f>
        <v/>
      </c>
      <c r="B252" s="7"/>
      <c r="C252" s="8"/>
      <c r="D252" s="8"/>
      <c r="E252" s="8"/>
      <c r="F252" s="9"/>
      <c r="G252" s="10" t="str">
        <f aca="false">IF(E252="","",IFERROR(INDEX(Catálogo!$D$5:$D$34,MATCH(E252,Catálogo!$C$5:$C$34,0)),""))</f>
        <v/>
      </c>
      <c r="H252" s="10" t="str">
        <f aca="false">IF(OR(F252="",G252=""),"",F252*G252)</f>
        <v/>
      </c>
      <c r="I252" s="8"/>
      <c r="J252" s="7"/>
      <c r="K252" s="8"/>
      <c r="L252" s="8"/>
      <c r="M252" s="11"/>
      <c r="N252" s="10" t="str">
        <f aca="false">IF(H252="","",IF(K252="Cancelado",0,H252-M252))</f>
        <v/>
      </c>
      <c r="O252" s="10" t="str">
        <f aca="false">IF(OR(F252="",E252=""),"",IFERROR(IF(INDEX(Catálogo!$E$5:$E$34,MATCH(E252,Catálogo!$C$5:$C$34,0))=0,"",F252*INDEX(Catálogo!$E$5:$E$34,MATCH(E252,Catálogo!$C$5:$C$34,0))),""))</f>
        <v/>
      </c>
      <c r="P252" s="10" t="str">
        <f aca="false">IF(OR(H252="",O252=""),"",H252-O252)</f>
        <v/>
      </c>
      <c r="Q252" s="8"/>
      <c r="R252" s="6" t="str">
        <f aca="false">IF(J252="","",YEAR(J252))</f>
        <v/>
      </c>
      <c r="S252" s="6" t="str">
        <f aca="false">IF(J252="","",MONTH(J252))</f>
        <v/>
      </c>
    </row>
    <row r="253" customFormat="false" ht="15" hidden="false" customHeight="false" outlineLevel="0" collapsed="false">
      <c r="A253" s="6" t="str">
        <f aca="false">IF(C253="","",ROW()-5)</f>
        <v/>
      </c>
      <c r="B253" s="7"/>
      <c r="C253" s="8"/>
      <c r="D253" s="8"/>
      <c r="E253" s="8"/>
      <c r="F253" s="9"/>
      <c r="G253" s="10" t="str">
        <f aca="false">IF(E253="","",IFERROR(INDEX(Catálogo!$D$5:$D$34,MATCH(E253,Catálogo!$C$5:$C$34,0)),""))</f>
        <v/>
      </c>
      <c r="H253" s="10" t="str">
        <f aca="false">IF(OR(F253="",G253=""),"",F253*G253)</f>
        <v/>
      </c>
      <c r="I253" s="8"/>
      <c r="J253" s="7"/>
      <c r="K253" s="8"/>
      <c r="L253" s="8"/>
      <c r="M253" s="11"/>
      <c r="N253" s="10" t="str">
        <f aca="false">IF(H253="","",IF(K253="Cancelado",0,H253-M253))</f>
        <v/>
      </c>
      <c r="O253" s="10" t="str">
        <f aca="false">IF(OR(F253="",E253=""),"",IFERROR(IF(INDEX(Catálogo!$E$5:$E$34,MATCH(E253,Catálogo!$C$5:$C$34,0))=0,"",F253*INDEX(Catálogo!$E$5:$E$34,MATCH(E253,Catálogo!$C$5:$C$34,0))),""))</f>
        <v/>
      </c>
      <c r="P253" s="10" t="str">
        <f aca="false">IF(OR(H253="",O253=""),"",H253-O253)</f>
        <v/>
      </c>
      <c r="Q253" s="8"/>
      <c r="R253" s="6" t="str">
        <f aca="false">IF(J253="","",YEAR(J253))</f>
        <v/>
      </c>
      <c r="S253" s="6" t="str">
        <f aca="false">IF(J253="","",MONTH(J253))</f>
        <v/>
      </c>
    </row>
    <row r="254" customFormat="false" ht="15" hidden="false" customHeight="false" outlineLevel="0" collapsed="false">
      <c r="A254" s="6" t="str">
        <f aca="false">IF(C254="","",ROW()-5)</f>
        <v/>
      </c>
      <c r="B254" s="7"/>
      <c r="C254" s="8"/>
      <c r="D254" s="8"/>
      <c r="E254" s="8"/>
      <c r="F254" s="9"/>
      <c r="G254" s="10" t="str">
        <f aca="false">IF(E254="","",IFERROR(INDEX(Catálogo!$D$5:$D$34,MATCH(E254,Catálogo!$C$5:$C$34,0)),""))</f>
        <v/>
      </c>
      <c r="H254" s="10" t="str">
        <f aca="false">IF(OR(F254="",G254=""),"",F254*G254)</f>
        <v/>
      </c>
      <c r="I254" s="8"/>
      <c r="J254" s="7"/>
      <c r="K254" s="8"/>
      <c r="L254" s="8"/>
      <c r="M254" s="11"/>
      <c r="N254" s="10" t="str">
        <f aca="false">IF(H254="","",IF(K254="Cancelado",0,H254-M254))</f>
        <v/>
      </c>
      <c r="O254" s="10" t="str">
        <f aca="false">IF(OR(F254="",E254=""),"",IFERROR(IF(INDEX(Catálogo!$E$5:$E$34,MATCH(E254,Catálogo!$C$5:$C$34,0))=0,"",F254*INDEX(Catálogo!$E$5:$E$34,MATCH(E254,Catálogo!$C$5:$C$34,0))),""))</f>
        <v/>
      </c>
      <c r="P254" s="10" t="str">
        <f aca="false">IF(OR(H254="",O254=""),"",H254-O254)</f>
        <v/>
      </c>
      <c r="Q254" s="8"/>
      <c r="R254" s="6" t="str">
        <f aca="false">IF(J254="","",YEAR(J254))</f>
        <v/>
      </c>
      <c r="S254" s="6" t="str">
        <f aca="false">IF(J254="","",MONTH(J254))</f>
        <v/>
      </c>
    </row>
    <row r="255" customFormat="false" ht="15" hidden="false" customHeight="false" outlineLevel="0" collapsed="false">
      <c r="A255" s="6" t="str">
        <f aca="false">IF(C255="","",ROW()-5)</f>
        <v/>
      </c>
      <c r="B255" s="7"/>
      <c r="C255" s="8"/>
      <c r="D255" s="8"/>
      <c r="E255" s="8"/>
      <c r="F255" s="9"/>
      <c r="G255" s="10" t="str">
        <f aca="false">IF(E255="","",IFERROR(INDEX(Catálogo!$D$5:$D$34,MATCH(E255,Catálogo!$C$5:$C$34,0)),""))</f>
        <v/>
      </c>
      <c r="H255" s="10" t="str">
        <f aca="false">IF(OR(F255="",G255=""),"",F255*G255)</f>
        <v/>
      </c>
      <c r="I255" s="8"/>
      <c r="J255" s="7"/>
      <c r="K255" s="8"/>
      <c r="L255" s="8"/>
      <c r="M255" s="11"/>
      <c r="N255" s="10" t="str">
        <f aca="false">IF(H255="","",IF(K255="Cancelado",0,H255-M255))</f>
        <v/>
      </c>
      <c r="O255" s="10" t="str">
        <f aca="false">IF(OR(F255="",E255=""),"",IFERROR(IF(INDEX(Catálogo!$E$5:$E$34,MATCH(E255,Catálogo!$C$5:$C$34,0))=0,"",F255*INDEX(Catálogo!$E$5:$E$34,MATCH(E255,Catálogo!$C$5:$C$34,0))),""))</f>
        <v/>
      </c>
      <c r="P255" s="10" t="str">
        <f aca="false">IF(OR(H255="",O255=""),"",H255-O255)</f>
        <v/>
      </c>
      <c r="Q255" s="8"/>
      <c r="R255" s="6" t="str">
        <f aca="false">IF(J255="","",YEAR(J255))</f>
        <v/>
      </c>
      <c r="S255" s="6" t="str">
        <f aca="false">IF(J255="","",MONTH(J255))</f>
        <v/>
      </c>
    </row>
    <row r="256" customFormat="false" ht="15" hidden="false" customHeight="false" outlineLevel="0" collapsed="false">
      <c r="A256" s="6" t="str">
        <f aca="false">IF(C256="","",ROW()-5)</f>
        <v/>
      </c>
      <c r="B256" s="7"/>
      <c r="C256" s="8"/>
      <c r="D256" s="8"/>
      <c r="E256" s="8"/>
      <c r="F256" s="9"/>
      <c r="G256" s="10" t="str">
        <f aca="false">IF(E256="","",IFERROR(INDEX(Catálogo!$D$5:$D$34,MATCH(E256,Catálogo!$C$5:$C$34,0)),""))</f>
        <v/>
      </c>
      <c r="H256" s="10" t="str">
        <f aca="false">IF(OR(F256="",G256=""),"",F256*G256)</f>
        <v/>
      </c>
      <c r="I256" s="8"/>
      <c r="J256" s="7"/>
      <c r="K256" s="8"/>
      <c r="L256" s="8"/>
      <c r="M256" s="11"/>
      <c r="N256" s="10" t="str">
        <f aca="false">IF(H256="","",IF(K256="Cancelado",0,H256-M256))</f>
        <v/>
      </c>
      <c r="O256" s="10" t="str">
        <f aca="false">IF(OR(F256="",E256=""),"",IFERROR(IF(INDEX(Catálogo!$E$5:$E$34,MATCH(E256,Catálogo!$C$5:$C$34,0))=0,"",F256*INDEX(Catálogo!$E$5:$E$34,MATCH(E256,Catálogo!$C$5:$C$34,0))),""))</f>
        <v/>
      </c>
      <c r="P256" s="10" t="str">
        <f aca="false">IF(OR(H256="",O256=""),"",H256-O256)</f>
        <v/>
      </c>
      <c r="Q256" s="8"/>
      <c r="R256" s="6" t="str">
        <f aca="false">IF(J256="","",YEAR(J256))</f>
        <v/>
      </c>
      <c r="S256" s="6" t="str">
        <f aca="false">IF(J256="","",MONTH(J256))</f>
        <v/>
      </c>
    </row>
    <row r="257" customFormat="false" ht="15" hidden="false" customHeight="false" outlineLevel="0" collapsed="false">
      <c r="A257" s="6" t="str">
        <f aca="false">IF(C257="","",ROW()-5)</f>
        <v/>
      </c>
      <c r="B257" s="7"/>
      <c r="C257" s="8"/>
      <c r="D257" s="8"/>
      <c r="E257" s="8"/>
      <c r="F257" s="9"/>
      <c r="G257" s="10" t="str">
        <f aca="false">IF(E257="","",IFERROR(INDEX(Catálogo!$D$5:$D$34,MATCH(E257,Catálogo!$C$5:$C$34,0)),""))</f>
        <v/>
      </c>
      <c r="H257" s="10" t="str">
        <f aca="false">IF(OR(F257="",G257=""),"",F257*G257)</f>
        <v/>
      </c>
      <c r="I257" s="8"/>
      <c r="J257" s="7"/>
      <c r="K257" s="8"/>
      <c r="L257" s="8"/>
      <c r="M257" s="11"/>
      <c r="N257" s="10" t="str">
        <f aca="false">IF(H257="","",IF(K257="Cancelado",0,H257-M257))</f>
        <v/>
      </c>
      <c r="O257" s="10" t="str">
        <f aca="false">IF(OR(F257="",E257=""),"",IFERROR(IF(INDEX(Catálogo!$E$5:$E$34,MATCH(E257,Catálogo!$C$5:$C$34,0))=0,"",F257*INDEX(Catálogo!$E$5:$E$34,MATCH(E257,Catálogo!$C$5:$C$34,0))),""))</f>
        <v/>
      </c>
      <c r="P257" s="10" t="str">
        <f aca="false">IF(OR(H257="",O257=""),"",H257-O257)</f>
        <v/>
      </c>
      <c r="Q257" s="8"/>
      <c r="R257" s="6" t="str">
        <f aca="false">IF(J257="","",YEAR(J257))</f>
        <v/>
      </c>
      <c r="S257" s="6" t="str">
        <f aca="false">IF(J257="","",MONTH(J257))</f>
        <v/>
      </c>
    </row>
    <row r="258" customFormat="false" ht="15" hidden="false" customHeight="false" outlineLevel="0" collapsed="false">
      <c r="A258" s="6" t="str">
        <f aca="false">IF(C258="","",ROW()-5)</f>
        <v/>
      </c>
      <c r="B258" s="7"/>
      <c r="C258" s="8"/>
      <c r="D258" s="8"/>
      <c r="E258" s="8"/>
      <c r="F258" s="9"/>
      <c r="G258" s="10" t="str">
        <f aca="false">IF(E258="","",IFERROR(INDEX(Catálogo!$D$5:$D$34,MATCH(E258,Catálogo!$C$5:$C$34,0)),""))</f>
        <v/>
      </c>
      <c r="H258" s="10" t="str">
        <f aca="false">IF(OR(F258="",G258=""),"",F258*G258)</f>
        <v/>
      </c>
      <c r="I258" s="8"/>
      <c r="J258" s="7"/>
      <c r="K258" s="8"/>
      <c r="L258" s="8"/>
      <c r="M258" s="11"/>
      <c r="N258" s="10" t="str">
        <f aca="false">IF(H258="","",IF(K258="Cancelado",0,H258-M258))</f>
        <v/>
      </c>
      <c r="O258" s="10" t="str">
        <f aca="false">IF(OR(F258="",E258=""),"",IFERROR(IF(INDEX(Catálogo!$E$5:$E$34,MATCH(E258,Catálogo!$C$5:$C$34,0))=0,"",F258*INDEX(Catálogo!$E$5:$E$34,MATCH(E258,Catálogo!$C$5:$C$34,0))),""))</f>
        <v/>
      </c>
      <c r="P258" s="10" t="str">
        <f aca="false">IF(OR(H258="",O258=""),"",H258-O258)</f>
        <v/>
      </c>
      <c r="Q258" s="8"/>
      <c r="R258" s="6" t="str">
        <f aca="false">IF(J258="","",YEAR(J258))</f>
        <v/>
      </c>
      <c r="S258" s="6" t="str">
        <f aca="false">IF(J258="","",MONTH(J258))</f>
        <v/>
      </c>
    </row>
    <row r="259" customFormat="false" ht="15" hidden="false" customHeight="false" outlineLevel="0" collapsed="false">
      <c r="A259" s="6" t="str">
        <f aca="false">IF(C259="","",ROW()-5)</f>
        <v/>
      </c>
      <c r="B259" s="7"/>
      <c r="C259" s="8"/>
      <c r="D259" s="8"/>
      <c r="E259" s="8"/>
      <c r="F259" s="9"/>
      <c r="G259" s="10" t="str">
        <f aca="false">IF(E259="","",IFERROR(INDEX(Catálogo!$D$5:$D$34,MATCH(E259,Catálogo!$C$5:$C$34,0)),""))</f>
        <v/>
      </c>
      <c r="H259" s="10" t="str">
        <f aca="false">IF(OR(F259="",G259=""),"",F259*G259)</f>
        <v/>
      </c>
      <c r="I259" s="8"/>
      <c r="J259" s="7"/>
      <c r="K259" s="8"/>
      <c r="L259" s="8"/>
      <c r="M259" s="11"/>
      <c r="N259" s="10" t="str">
        <f aca="false">IF(H259="","",IF(K259="Cancelado",0,H259-M259))</f>
        <v/>
      </c>
      <c r="O259" s="10" t="str">
        <f aca="false">IF(OR(F259="",E259=""),"",IFERROR(IF(INDEX(Catálogo!$E$5:$E$34,MATCH(E259,Catálogo!$C$5:$C$34,0))=0,"",F259*INDEX(Catálogo!$E$5:$E$34,MATCH(E259,Catálogo!$C$5:$C$34,0))),""))</f>
        <v/>
      </c>
      <c r="P259" s="10" t="str">
        <f aca="false">IF(OR(H259="",O259=""),"",H259-O259)</f>
        <v/>
      </c>
      <c r="Q259" s="8"/>
      <c r="R259" s="6" t="str">
        <f aca="false">IF(J259="","",YEAR(J259))</f>
        <v/>
      </c>
      <c r="S259" s="6" t="str">
        <f aca="false">IF(J259="","",MONTH(J259))</f>
        <v/>
      </c>
    </row>
    <row r="260" customFormat="false" ht="15" hidden="false" customHeight="false" outlineLevel="0" collapsed="false">
      <c r="A260" s="6" t="str">
        <f aca="false">IF(C260="","",ROW()-5)</f>
        <v/>
      </c>
      <c r="B260" s="7"/>
      <c r="C260" s="8"/>
      <c r="D260" s="8"/>
      <c r="E260" s="8"/>
      <c r="F260" s="9"/>
      <c r="G260" s="10" t="str">
        <f aca="false">IF(E260="","",IFERROR(INDEX(Catálogo!$D$5:$D$34,MATCH(E260,Catálogo!$C$5:$C$34,0)),""))</f>
        <v/>
      </c>
      <c r="H260" s="10" t="str">
        <f aca="false">IF(OR(F260="",G260=""),"",F260*G260)</f>
        <v/>
      </c>
      <c r="I260" s="8"/>
      <c r="J260" s="7"/>
      <c r="K260" s="8"/>
      <c r="L260" s="8"/>
      <c r="M260" s="11"/>
      <c r="N260" s="10" t="str">
        <f aca="false">IF(H260="","",IF(K260="Cancelado",0,H260-M260))</f>
        <v/>
      </c>
      <c r="O260" s="10" t="str">
        <f aca="false">IF(OR(F260="",E260=""),"",IFERROR(IF(INDEX(Catálogo!$E$5:$E$34,MATCH(E260,Catálogo!$C$5:$C$34,0))=0,"",F260*INDEX(Catálogo!$E$5:$E$34,MATCH(E260,Catálogo!$C$5:$C$34,0))),""))</f>
        <v/>
      </c>
      <c r="P260" s="10" t="str">
        <f aca="false">IF(OR(H260="",O260=""),"",H260-O260)</f>
        <v/>
      </c>
      <c r="Q260" s="8"/>
      <c r="R260" s="6" t="str">
        <f aca="false">IF(J260="","",YEAR(J260))</f>
        <v/>
      </c>
      <c r="S260" s="6" t="str">
        <f aca="false">IF(J260="","",MONTH(J260))</f>
        <v/>
      </c>
    </row>
    <row r="261" customFormat="false" ht="15" hidden="false" customHeight="false" outlineLevel="0" collapsed="false">
      <c r="A261" s="6" t="str">
        <f aca="false">IF(C261="","",ROW()-5)</f>
        <v/>
      </c>
      <c r="B261" s="7"/>
      <c r="C261" s="8"/>
      <c r="D261" s="8"/>
      <c r="E261" s="8"/>
      <c r="F261" s="9"/>
      <c r="G261" s="10" t="str">
        <f aca="false">IF(E261="","",IFERROR(INDEX(Catálogo!$D$5:$D$34,MATCH(E261,Catálogo!$C$5:$C$34,0)),""))</f>
        <v/>
      </c>
      <c r="H261" s="10" t="str">
        <f aca="false">IF(OR(F261="",G261=""),"",F261*G261)</f>
        <v/>
      </c>
      <c r="I261" s="8"/>
      <c r="J261" s="7"/>
      <c r="K261" s="8"/>
      <c r="L261" s="8"/>
      <c r="M261" s="11"/>
      <c r="N261" s="10" t="str">
        <f aca="false">IF(H261="","",IF(K261="Cancelado",0,H261-M261))</f>
        <v/>
      </c>
      <c r="O261" s="10" t="str">
        <f aca="false">IF(OR(F261="",E261=""),"",IFERROR(IF(INDEX(Catálogo!$E$5:$E$34,MATCH(E261,Catálogo!$C$5:$C$34,0))=0,"",F261*INDEX(Catálogo!$E$5:$E$34,MATCH(E261,Catálogo!$C$5:$C$34,0))),""))</f>
        <v/>
      </c>
      <c r="P261" s="10" t="str">
        <f aca="false">IF(OR(H261="",O261=""),"",H261-O261)</f>
        <v/>
      </c>
      <c r="Q261" s="8"/>
      <c r="R261" s="6" t="str">
        <f aca="false">IF(J261="","",YEAR(J261))</f>
        <v/>
      </c>
      <c r="S261" s="6" t="str">
        <f aca="false">IF(J261="","",MONTH(J261))</f>
        <v/>
      </c>
    </row>
    <row r="262" customFormat="false" ht="15" hidden="false" customHeight="false" outlineLevel="0" collapsed="false">
      <c r="A262" s="6" t="str">
        <f aca="false">IF(C262="","",ROW()-5)</f>
        <v/>
      </c>
      <c r="B262" s="7"/>
      <c r="C262" s="8"/>
      <c r="D262" s="8"/>
      <c r="E262" s="8"/>
      <c r="F262" s="9"/>
      <c r="G262" s="10" t="str">
        <f aca="false">IF(E262="","",IFERROR(INDEX(Catálogo!$D$5:$D$34,MATCH(E262,Catálogo!$C$5:$C$34,0)),""))</f>
        <v/>
      </c>
      <c r="H262" s="10" t="str">
        <f aca="false">IF(OR(F262="",G262=""),"",F262*G262)</f>
        <v/>
      </c>
      <c r="I262" s="8"/>
      <c r="J262" s="7"/>
      <c r="K262" s="8"/>
      <c r="L262" s="8"/>
      <c r="M262" s="11"/>
      <c r="N262" s="10" t="str">
        <f aca="false">IF(H262="","",IF(K262="Cancelado",0,H262-M262))</f>
        <v/>
      </c>
      <c r="O262" s="10" t="str">
        <f aca="false">IF(OR(F262="",E262=""),"",IFERROR(IF(INDEX(Catálogo!$E$5:$E$34,MATCH(E262,Catálogo!$C$5:$C$34,0))=0,"",F262*INDEX(Catálogo!$E$5:$E$34,MATCH(E262,Catálogo!$C$5:$C$34,0))),""))</f>
        <v/>
      </c>
      <c r="P262" s="10" t="str">
        <f aca="false">IF(OR(H262="",O262=""),"",H262-O262)</f>
        <v/>
      </c>
      <c r="Q262" s="8"/>
      <c r="R262" s="6" t="str">
        <f aca="false">IF(J262="","",YEAR(J262))</f>
        <v/>
      </c>
      <c r="S262" s="6" t="str">
        <f aca="false">IF(J262="","",MONTH(J262))</f>
        <v/>
      </c>
    </row>
    <row r="263" customFormat="false" ht="15" hidden="false" customHeight="false" outlineLevel="0" collapsed="false">
      <c r="A263" s="6" t="str">
        <f aca="false">IF(C263="","",ROW()-5)</f>
        <v/>
      </c>
      <c r="B263" s="7"/>
      <c r="C263" s="8"/>
      <c r="D263" s="8"/>
      <c r="E263" s="8"/>
      <c r="F263" s="9"/>
      <c r="G263" s="10" t="str">
        <f aca="false">IF(E263="","",IFERROR(INDEX(Catálogo!$D$5:$D$34,MATCH(E263,Catálogo!$C$5:$C$34,0)),""))</f>
        <v/>
      </c>
      <c r="H263" s="10" t="str">
        <f aca="false">IF(OR(F263="",G263=""),"",F263*G263)</f>
        <v/>
      </c>
      <c r="I263" s="8"/>
      <c r="J263" s="7"/>
      <c r="K263" s="8"/>
      <c r="L263" s="8"/>
      <c r="M263" s="11"/>
      <c r="N263" s="10" t="str">
        <f aca="false">IF(H263="","",IF(K263="Cancelado",0,H263-M263))</f>
        <v/>
      </c>
      <c r="O263" s="10" t="str">
        <f aca="false">IF(OR(F263="",E263=""),"",IFERROR(IF(INDEX(Catálogo!$E$5:$E$34,MATCH(E263,Catálogo!$C$5:$C$34,0))=0,"",F263*INDEX(Catálogo!$E$5:$E$34,MATCH(E263,Catálogo!$C$5:$C$34,0))),""))</f>
        <v/>
      </c>
      <c r="P263" s="10" t="str">
        <f aca="false">IF(OR(H263="",O263=""),"",H263-O263)</f>
        <v/>
      </c>
      <c r="Q263" s="8"/>
      <c r="R263" s="6" t="str">
        <f aca="false">IF(J263="","",YEAR(J263))</f>
        <v/>
      </c>
      <c r="S263" s="6" t="str">
        <f aca="false">IF(J263="","",MONTH(J263))</f>
        <v/>
      </c>
    </row>
    <row r="264" customFormat="false" ht="15" hidden="false" customHeight="false" outlineLevel="0" collapsed="false">
      <c r="A264" s="6" t="str">
        <f aca="false">IF(C264="","",ROW()-5)</f>
        <v/>
      </c>
      <c r="B264" s="7"/>
      <c r="C264" s="8"/>
      <c r="D264" s="8"/>
      <c r="E264" s="8"/>
      <c r="F264" s="9"/>
      <c r="G264" s="10" t="str">
        <f aca="false">IF(E264="","",IFERROR(INDEX(Catálogo!$D$5:$D$34,MATCH(E264,Catálogo!$C$5:$C$34,0)),""))</f>
        <v/>
      </c>
      <c r="H264" s="10" t="str">
        <f aca="false">IF(OR(F264="",G264=""),"",F264*G264)</f>
        <v/>
      </c>
      <c r="I264" s="8"/>
      <c r="J264" s="7"/>
      <c r="K264" s="8"/>
      <c r="L264" s="8"/>
      <c r="M264" s="11"/>
      <c r="N264" s="10" t="str">
        <f aca="false">IF(H264="","",IF(K264="Cancelado",0,H264-M264))</f>
        <v/>
      </c>
      <c r="O264" s="10" t="str">
        <f aca="false">IF(OR(F264="",E264=""),"",IFERROR(IF(INDEX(Catálogo!$E$5:$E$34,MATCH(E264,Catálogo!$C$5:$C$34,0))=0,"",F264*INDEX(Catálogo!$E$5:$E$34,MATCH(E264,Catálogo!$C$5:$C$34,0))),""))</f>
        <v/>
      </c>
      <c r="P264" s="10" t="str">
        <f aca="false">IF(OR(H264="",O264=""),"",H264-O264)</f>
        <v/>
      </c>
      <c r="Q264" s="8"/>
      <c r="R264" s="6" t="str">
        <f aca="false">IF(J264="","",YEAR(J264))</f>
        <v/>
      </c>
      <c r="S264" s="6" t="str">
        <f aca="false">IF(J264="","",MONTH(J264))</f>
        <v/>
      </c>
    </row>
    <row r="265" customFormat="false" ht="15" hidden="false" customHeight="false" outlineLevel="0" collapsed="false">
      <c r="A265" s="6" t="str">
        <f aca="false">IF(C265="","",ROW()-5)</f>
        <v/>
      </c>
      <c r="B265" s="7"/>
      <c r="C265" s="8"/>
      <c r="D265" s="8"/>
      <c r="E265" s="8"/>
      <c r="F265" s="9"/>
      <c r="G265" s="10" t="str">
        <f aca="false">IF(E265="","",IFERROR(INDEX(Catálogo!$D$5:$D$34,MATCH(E265,Catálogo!$C$5:$C$34,0)),""))</f>
        <v/>
      </c>
      <c r="H265" s="10" t="str">
        <f aca="false">IF(OR(F265="",G265=""),"",F265*G265)</f>
        <v/>
      </c>
      <c r="I265" s="8"/>
      <c r="J265" s="7"/>
      <c r="K265" s="8"/>
      <c r="L265" s="8"/>
      <c r="M265" s="11"/>
      <c r="N265" s="10" t="str">
        <f aca="false">IF(H265="","",IF(K265="Cancelado",0,H265-M265))</f>
        <v/>
      </c>
      <c r="O265" s="10" t="str">
        <f aca="false">IF(OR(F265="",E265=""),"",IFERROR(IF(INDEX(Catálogo!$E$5:$E$34,MATCH(E265,Catálogo!$C$5:$C$34,0))=0,"",F265*INDEX(Catálogo!$E$5:$E$34,MATCH(E265,Catálogo!$C$5:$C$34,0))),""))</f>
        <v/>
      </c>
      <c r="P265" s="10" t="str">
        <f aca="false">IF(OR(H265="",O265=""),"",H265-O265)</f>
        <v/>
      </c>
      <c r="Q265" s="8"/>
      <c r="R265" s="6" t="str">
        <f aca="false">IF(J265="","",YEAR(J265))</f>
        <v/>
      </c>
      <c r="S265" s="6" t="str">
        <f aca="false">IF(J265="","",MONTH(J265))</f>
        <v/>
      </c>
    </row>
    <row r="266" customFormat="false" ht="15" hidden="false" customHeight="false" outlineLevel="0" collapsed="false">
      <c r="A266" s="6" t="str">
        <f aca="false">IF(C266="","",ROW()-5)</f>
        <v/>
      </c>
      <c r="B266" s="7"/>
      <c r="C266" s="8"/>
      <c r="D266" s="8"/>
      <c r="E266" s="8"/>
      <c r="F266" s="9"/>
      <c r="G266" s="10" t="str">
        <f aca="false">IF(E266="","",IFERROR(INDEX(Catálogo!$D$5:$D$34,MATCH(E266,Catálogo!$C$5:$C$34,0)),""))</f>
        <v/>
      </c>
      <c r="H266" s="10" t="str">
        <f aca="false">IF(OR(F266="",G266=""),"",F266*G266)</f>
        <v/>
      </c>
      <c r="I266" s="8"/>
      <c r="J266" s="7"/>
      <c r="K266" s="8"/>
      <c r="L266" s="8"/>
      <c r="M266" s="11"/>
      <c r="N266" s="10" t="str">
        <f aca="false">IF(H266="","",IF(K266="Cancelado",0,H266-M266))</f>
        <v/>
      </c>
      <c r="O266" s="10" t="str">
        <f aca="false">IF(OR(F266="",E266=""),"",IFERROR(IF(INDEX(Catálogo!$E$5:$E$34,MATCH(E266,Catálogo!$C$5:$C$34,0))=0,"",F266*INDEX(Catálogo!$E$5:$E$34,MATCH(E266,Catálogo!$C$5:$C$34,0))),""))</f>
        <v/>
      </c>
      <c r="P266" s="10" t="str">
        <f aca="false">IF(OR(H266="",O266=""),"",H266-O266)</f>
        <v/>
      </c>
      <c r="Q266" s="8"/>
      <c r="R266" s="6" t="str">
        <f aca="false">IF(J266="","",YEAR(J266))</f>
        <v/>
      </c>
      <c r="S266" s="6" t="str">
        <f aca="false">IF(J266="","",MONTH(J266))</f>
        <v/>
      </c>
    </row>
    <row r="267" customFormat="false" ht="15" hidden="false" customHeight="false" outlineLevel="0" collapsed="false">
      <c r="A267" s="6" t="str">
        <f aca="false">IF(C267="","",ROW()-5)</f>
        <v/>
      </c>
      <c r="B267" s="7"/>
      <c r="C267" s="8"/>
      <c r="D267" s="8"/>
      <c r="E267" s="8"/>
      <c r="F267" s="9"/>
      <c r="G267" s="10" t="str">
        <f aca="false">IF(E267="","",IFERROR(INDEX(Catálogo!$D$5:$D$34,MATCH(E267,Catálogo!$C$5:$C$34,0)),""))</f>
        <v/>
      </c>
      <c r="H267" s="10" t="str">
        <f aca="false">IF(OR(F267="",G267=""),"",F267*G267)</f>
        <v/>
      </c>
      <c r="I267" s="8"/>
      <c r="J267" s="7"/>
      <c r="K267" s="8"/>
      <c r="L267" s="8"/>
      <c r="M267" s="11"/>
      <c r="N267" s="10" t="str">
        <f aca="false">IF(H267="","",IF(K267="Cancelado",0,H267-M267))</f>
        <v/>
      </c>
      <c r="O267" s="10" t="str">
        <f aca="false">IF(OR(F267="",E267=""),"",IFERROR(IF(INDEX(Catálogo!$E$5:$E$34,MATCH(E267,Catálogo!$C$5:$C$34,0))=0,"",F267*INDEX(Catálogo!$E$5:$E$34,MATCH(E267,Catálogo!$C$5:$C$34,0))),""))</f>
        <v/>
      </c>
      <c r="P267" s="10" t="str">
        <f aca="false">IF(OR(H267="",O267=""),"",H267-O267)</f>
        <v/>
      </c>
      <c r="Q267" s="8"/>
      <c r="R267" s="6" t="str">
        <f aca="false">IF(J267="","",YEAR(J267))</f>
        <v/>
      </c>
      <c r="S267" s="6" t="str">
        <f aca="false">IF(J267="","",MONTH(J267))</f>
        <v/>
      </c>
    </row>
    <row r="268" customFormat="false" ht="15" hidden="false" customHeight="false" outlineLevel="0" collapsed="false">
      <c r="A268" s="6" t="str">
        <f aca="false">IF(C268="","",ROW()-5)</f>
        <v/>
      </c>
      <c r="B268" s="7"/>
      <c r="C268" s="8"/>
      <c r="D268" s="8"/>
      <c r="E268" s="8"/>
      <c r="F268" s="9"/>
      <c r="G268" s="10" t="str">
        <f aca="false">IF(E268="","",IFERROR(INDEX(Catálogo!$D$5:$D$34,MATCH(E268,Catálogo!$C$5:$C$34,0)),""))</f>
        <v/>
      </c>
      <c r="H268" s="10" t="str">
        <f aca="false">IF(OR(F268="",G268=""),"",F268*G268)</f>
        <v/>
      </c>
      <c r="I268" s="8"/>
      <c r="J268" s="7"/>
      <c r="K268" s="8"/>
      <c r="L268" s="8"/>
      <c r="M268" s="11"/>
      <c r="N268" s="10" t="str">
        <f aca="false">IF(H268="","",IF(K268="Cancelado",0,H268-M268))</f>
        <v/>
      </c>
      <c r="O268" s="10" t="str">
        <f aca="false">IF(OR(F268="",E268=""),"",IFERROR(IF(INDEX(Catálogo!$E$5:$E$34,MATCH(E268,Catálogo!$C$5:$C$34,0))=0,"",F268*INDEX(Catálogo!$E$5:$E$34,MATCH(E268,Catálogo!$C$5:$C$34,0))),""))</f>
        <v/>
      </c>
      <c r="P268" s="10" t="str">
        <f aca="false">IF(OR(H268="",O268=""),"",H268-O268)</f>
        <v/>
      </c>
      <c r="Q268" s="8"/>
      <c r="R268" s="6" t="str">
        <f aca="false">IF(J268="","",YEAR(J268))</f>
        <v/>
      </c>
      <c r="S268" s="6" t="str">
        <f aca="false">IF(J268="","",MONTH(J268))</f>
        <v/>
      </c>
    </row>
    <row r="269" customFormat="false" ht="15" hidden="false" customHeight="false" outlineLevel="0" collapsed="false">
      <c r="A269" s="6" t="str">
        <f aca="false">IF(C269="","",ROW()-5)</f>
        <v/>
      </c>
      <c r="B269" s="7"/>
      <c r="C269" s="8"/>
      <c r="D269" s="8"/>
      <c r="E269" s="8"/>
      <c r="F269" s="9"/>
      <c r="G269" s="10" t="str">
        <f aca="false">IF(E269="","",IFERROR(INDEX(Catálogo!$D$5:$D$34,MATCH(E269,Catálogo!$C$5:$C$34,0)),""))</f>
        <v/>
      </c>
      <c r="H269" s="10" t="str">
        <f aca="false">IF(OR(F269="",G269=""),"",F269*G269)</f>
        <v/>
      </c>
      <c r="I269" s="8"/>
      <c r="J269" s="7"/>
      <c r="K269" s="8"/>
      <c r="L269" s="8"/>
      <c r="M269" s="11"/>
      <c r="N269" s="10" t="str">
        <f aca="false">IF(H269="","",IF(K269="Cancelado",0,H269-M269))</f>
        <v/>
      </c>
      <c r="O269" s="10" t="str">
        <f aca="false">IF(OR(F269="",E269=""),"",IFERROR(IF(INDEX(Catálogo!$E$5:$E$34,MATCH(E269,Catálogo!$C$5:$C$34,0))=0,"",F269*INDEX(Catálogo!$E$5:$E$34,MATCH(E269,Catálogo!$C$5:$C$34,0))),""))</f>
        <v/>
      </c>
      <c r="P269" s="10" t="str">
        <f aca="false">IF(OR(H269="",O269=""),"",H269-O269)</f>
        <v/>
      </c>
      <c r="Q269" s="8"/>
      <c r="R269" s="6" t="str">
        <f aca="false">IF(J269="","",YEAR(J269))</f>
        <v/>
      </c>
      <c r="S269" s="6" t="str">
        <f aca="false">IF(J269="","",MONTH(J269))</f>
        <v/>
      </c>
    </row>
    <row r="270" customFormat="false" ht="15" hidden="false" customHeight="false" outlineLevel="0" collapsed="false">
      <c r="A270" s="6" t="str">
        <f aca="false">IF(C270="","",ROW()-5)</f>
        <v/>
      </c>
      <c r="B270" s="7"/>
      <c r="C270" s="8"/>
      <c r="D270" s="8"/>
      <c r="E270" s="8"/>
      <c r="F270" s="9"/>
      <c r="G270" s="10" t="str">
        <f aca="false">IF(E270="","",IFERROR(INDEX(Catálogo!$D$5:$D$34,MATCH(E270,Catálogo!$C$5:$C$34,0)),""))</f>
        <v/>
      </c>
      <c r="H270" s="10" t="str">
        <f aca="false">IF(OR(F270="",G270=""),"",F270*G270)</f>
        <v/>
      </c>
      <c r="I270" s="8"/>
      <c r="J270" s="7"/>
      <c r="K270" s="8"/>
      <c r="L270" s="8"/>
      <c r="M270" s="11"/>
      <c r="N270" s="10" t="str">
        <f aca="false">IF(H270="","",IF(K270="Cancelado",0,H270-M270))</f>
        <v/>
      </c>
      <c r="O270" s="10" t="str">
        <f aca="false">IF(OR(F270="",E270=""),"",IFERROR(IF(INDEX(Catálogo!$E$5:$E$34,MATCH(E270,Catálogo!$C$5:$C$34,0))=0,"",F270*INDEX(Catálogo!$E$5:$E$34,MATCH(E270,Catálogo!$C$5:$C$34,0))),""))</f>
        <v/>
      </c>
      <c r="P270" s="10" t="str">
        <f aca="false">IF(OR(H270="",O270=""),"",H270-O270)</f>
        <v/>
      </c>
      <c r="Q270" s="8"/>
      <c r="R270" s="6" t="str">
        <f aca="false">IF(J270="","",YEAR(J270))</f>
        <v/>
      </c>
      <c r="S270" s="6" t="str">
        <f aca="false">IF(J270="","",MONTH(J270))</f>
        <v/>
      </c>
    </row>
    <row r="271" customFormat="false" ht="15" hidden="false" customHeight="false" outlineLevel="0" collapsed="false">
      <c r="A271" s="6" t="str">
        <f aca="false">IF(C271="","",ROW()-5)</f>
        <v/>
      </c>
      <c r="B271" s="7"/>
      <c r="C271" s="8"/>
      <c r="D271" s="8"/>
      <c r="E271" s="8"/>
      <c r="F271" s="9"/>
      <c r="G271" s="10" t="str">
        <f aca="false">IF(E271="","",IFERROR(INDEX(Catálogo!$D$5:$D$34,MATCH(E271,Catálogo!$C$5:$C$34,0)),""))</f>
        <v/>
      </c>
      <c r="H271" s="10" t="str">
        <f aca="false">IF(OR(F271="",G271=""),"",F271*G271)</f>
        <v/>
      </c>
      <c r="I271" s="8"/>
      <c r="J271" s="7"/>
      <c r="K271" s="8"/>
      <c r="L271" s="8"/>
      <c r="M271" s="11"/>
      <c r="N271" s="10" t="str">
        <f aca="false">IF(H271="","",IF(K271="Cancelado",0,H271-M271))</f>
        <v/>
      </c>
      <c r="O271" s="10" t="str">
        <f aca="false">IF(OR(F271="",E271=""),"",IFERROR(IF(INDEX(Catálogo!$E$5:$E$34,MATCH(E271,Catálogo!$C$5:$C$34,0))=0,"",F271*INDEX(Catálogo!$E$5:$E$34,MATCH(E271,Catálogo!$C$5:$C$34,0))),""))</f>
        <v/>
      </c>
      <c r="P271" s="10" t="str">
        <f aca="false">IF(OR(H271="",O271=""),"",H271-O271)</f>
        <v/>
      </c>
      <c r="Q271" s="8"/>
      <c r="R271" s="6" t="str">
        <f aca="false">IF(J271="","",YEAR(J271))</f>
        <v/>
      </c>
      <c r="S271" s="6" t="str">
        <f aca="false">IF(J271="","",MONTH(J271))</f>
        <v/>
      </c>
    </row>
    <row r="272" customFormat="false" ht="15" hidden="false" customHeight="false" outlineLevel="0" collapsed="false">
      <c r="A272" s="6" t="str">
        <f aca="false">IF(C272="","",ROW()-5)</f>
        <v/>
      </c>
      <c r="B272" s="7"/>
      <c r="C272" s="8"/>
      <c r="D272" s="8"/>
      <c r="E272" s="8"/>
      <c r="F272" s="9"/>
      <c r="G272" s="10" t="str">
        <f aca="false">IF(E272="","",IFERROR(INDEX(Catálogo!$D$5:$D$34,MATCH(E272,Catálogo!$C$5:$C$34,0)),""))</f>
        <v/>
      </c>
      <c r="H272" s="10" t="str">
        <f aca="false">IF(OR(F272="",G272=""),"",F272*G272)</f>
        <v/>
      </c>
      <c r="I272" s="8"/>
      <c r="J272" s="7"/>
      <c r="K272" s="8"/>
      <c r="L272" s="8"/>
      <c r="M272" s="11"/>
      <c r="N272" s="10" t="str">
        <f aca="false">IF(H272="","",IF(K272="Cancelado",0,H272-M272))</f>
        <v/>
      </c>
      <c r="O272" s="10" t="str">
        <f aca="false">IF(OR(F272="",E272=""),"",IFERROR(IF(INDEX(Catálogo!$E$5:$E$34,MATCH(E272,Catálogo!$C$5:$C$34,0))=0,"",F272*INDEX(Catálogo!$E$5:$E$34,MATCH(E272,Catálogo!$C$5:$C$34,0))),""))</f>
        <v/>
      </c>
      <c r="P272" s="10" t="str">
        <f aca="false">IF(OR(H272="",O272=""),"",H272-O272)</f>
        <v/>
      </c>
      <c r="Q272" s="8"/>
      <c r="R272" s="6" t="str">
        <f aca="false">IF(J272="","",YEAR(J272))</f>
        <v/>
      </c>
      <c r="S272" s="6" t="str">
        <f aca="false">IF(J272="","",MONTH(J272))</f>
        <v/>
      </c>
    </row>
    <row r="273" customFormat="false" ht="15" hidden="false" customHeight="false" outlineLevel="0" collapsed="false">
      <c r="A273" s="6" t="str">
        <f aca="false">IF(C273="","",ROW()-5)</f>
        <v/>
      </c>
      <c r="B273" s="7"/>
      <c r="C273" s="8"/>
      <c r="D273" s="8"/>
      <c r="E273" s="8"/>
      <c r="F273" s="9"/>
      <c r="G273" s="10" t="str">
        <f aca="false">IF(E273="","",IFERROR(INDEX(Catálogo!$D$5:$D$34,MATCH(E273,Catálogo!$C$5:$C$34,0)),""))</f>
        <v/>
      </c>
      <c r="H273" s="10" t="str">
        <f aca="false">IF(OR(F273="",G273=""),"",F273*G273)</f>
        <v/>
      </c>
      <c r="I273" s="8"/>
      <c r="J273" s="7"/>
      <c r="K273" s="8"/>
      <c r="L273" s="8"/>
      <c r="M273" s="11"/>
      <c r="N273" s="10" t="str">
        <f aca="false">IF(H273="","",IF(K273="Cancelado",0,H273-M273))</f>
        <v/>
      </c>
      <c r="O273" s="10" t="str">
        <f aca="false">IF(OR(F273="",E273=""),"",IFERROR(IF(INDEX(Catálogo!$E$5:$E$34,MATCH(E273,Catálogo!$C$5:$C$34,0))=0,"",F273*INDEX(Catálogo!$E$5:$E$34,MATCH(E273,Catálogo!$C$5:$C$34,0))),""))</f>
        <v/>
      </c>
      <c r="P273" s="10" t="str">
        <f aca="false">IF(OR(H273="",O273=""),"",H273-O273)</f>
        <v/>
      </c>
      <c r="Q273" s="8"/>
      <c r="R273" s="6" t="str">
        <f aca="false">IF(J273="","",YEAR(J273))</f>
        <v/>
      </c>
      <c r="S273" s="6" t="str">
        <f aca="false">IF(J273="","",MONTH(J273))</f>
        <v/>
      </c>
    </row>
    <row r="274" customFormat="false" ht="15" hidden="false" customHeight="false" outlineLevel="0" collapsed="false">
      <c r="A274" s="6" t="str">
        <f aca="false">IF(C274="","",ROW()-5)</f>
        <v/>
      </c>
      <c r="B274" s="7"/>
      <c r="C274" s="8"/>
      <c r="D274" s="8"/>
      <c r="E274" s="8"/>
      <c r="F274" s="9"/>
      <c r="G274" s="10" t="str">
        <f aca="false">IF(E274="","",IFERROR(INDEX(Catálogo!$D$5:$D$34,MATCH(E274,Catálogo!$C$5:$C$34,0)),""))</f>
        <v/>
      </c>
      <c r="H274" s="10" t="str">
        <f aca="false">IF(OR(F274="",G274=""),"",F274*G274)</f>
        <v/>
      </c>
      <c r="I274" s="8"/>
      <c r="J274" s="7"/>
      <c r="K274" s="8"/>
      <c r="L274" s="8"/>
      <c r="M274" s="11"/>
      <c r="N274" s="10" t="str">
        <f aca="false">IF(H274="","",IF(K274="Cancelado",0,H274-M274))</f>
        <v/>
      </c>
      <c r="O274" s="10" t="str">
        <f aca="false">IF(OR(F274="",E274=""),"",IFERROR(IF(INDEX(Catálogo!$E$5:$E$34,MATCH(E274,Catálogo!$C$5:$C$34,0))=0,"",F274*INDEX(Catálogo!$E$5:$E$34,MATCH(E274,Catálogo!$C$5:$C$34,0))),""))</f>
        <v/>
      </c>
      <c r="P274" s="10" t="str">
        <f aca="false">IF(OR(H274="",O274=""),"",H274-O274)</f>
        <v/>
      </c>
      <c r="Q274" s="8"/>
      <c r="R274" s="6" t="str">
        <f aca="false">IF(J274="","",YEAR(J274))</f>
        <v/>
      </c>
      <c r="S274" s="6" t="str">
        <f aca="false">IF(J274="","",MONTH(J274))</f>
        <v/>
      </c>
    </row>
    <row r="275" customFormat="false" ht="15" hidden="false" customHeight="false" outlineLevel="0" collapsed="false">
      <c r="A275" s="6" t="str">
        <f aca="false">IF(C275="","",ROW()-5)</f>
        <v/>
      </c>
      <c r="B275" s="7"/>
      <c r="C275" s="8"/>
      <c r="D275" s="8"/>
      <c r="E275" s="8"/>
      <c r="F275" s="9"/>
      <c r="G275" s="10" t="str">
        <f aca="false">IF(E275="","",IFERROR(INDEX(Catálogo!$D$5:$D$34,MATCH(E275,Catálogo!$C$5:$C$34,0)),""))</f>
        <v/>
      </c>
      <c r="H275" s="10" t="str">
        <f aca="false">IF(OR(F275="",G275=""),"",F275*G275)</f>
        <v/>
      </c>
      <c r="I275" s="8"/>
      <c r="J275" s="7"/>
      <c r="K275" s="8"/>
      <c r="L275" s="8"/>
      <c r="M275" s="11"/>
      <c r="N275" s="10" t="str">
        <f aca="false">IF(H275="","",IF(K275="Cancelado",0,H275-M275))</f>
        <v/>
      </c>
      <c r="O275" s="10" t="str">
        <f aca="false">IF(OR(F275="",E275=""),"",IFERROR(IF(INDEX(Catálogo!$E$5:$E$34,MATCH(E275,Catálogo!$C$5:$C$34,0))=0,"",F275*INDEX(Catálogo!$E$5:$E$34,MATCH(E275,Catálogo!$C$5:$C$34,0))),""))</f>
        <v/>
      </c>
      <c r="P275" s="10" t="str">
        <f aca="false">IF(OR(H275="",O275=""),"",H275-O275)</f>
        <v/>
      </c>
      <c r="Q275" s="8"/>
      <c r="R275" s="6" t="str">
        <f aca="false">IF(J275="","",YEAR(J275))</f>
        <v/>
      </c>
      <c r="S275" s="6" t="str">
        <f aca="false">IF(J275="","",MONTH(J275))</f>
        <v/>
      </c>
    </row>
    <row r="276" customFormat="false" ht="15" hidden="false" customHeight="false" outlineLevel="0" collapsed="false">
      <c r="A276" s="6" t="str">
        <f aca="false">IF(C276="","",ROW()-5)</f>
        <v/>
      </c>
      <c r="B276" s="7"/>
      <c r="C276" s="8"/>
      <c r="D276" s="8"/>
      <c r="E276" s="8"/>
      <c r="F276" s="9"/>
      <c r="G276" s="10" t="str">
        <f aca="false">IF(E276="","",IFERROR(INDEX(Catálogo!$D$5:$D$34,MATCH(E276,Catálogo!$C$5:$C$34,0)),""))</f>
        <v/>
      </c>
      <c r="H276" s="10" t="str">
        <f aca="false">IF(OR(F276="",G276=""),"",F276*G276)</f>
        <v/>
      </c>
      <c r="I276" s="8"/>
      <c r="J276" s="7"/>
      <c r="K276" s="8"/>
      <c r="L276" s="8"/>
      <c r="M276" s="11"/>
      <c r="N276" s="10" t="str">
        <f aca="false">IF(H276="","",IF(K276="Cancelado",0,H276-M276))</f>
        <v/>
      </c>
      <c r="O276" s="10" t="str">
        <f aca="false">IF(OR(F276="",E276=""),"",IFERROR(IF(INDEX(Catálogo!$E$5:$E$34,MATCH(E276,Catálogo!$C$5:$C$34,0))=0,"",F276*INDEX(Catálogo!$E$5:$E$34,MATCH(E276,Catálogo!$C$5:$C$34,0))),""))</f>
        <v/>
      </c>
      <c r="P276" s="10" t="str">
        <f aca="false">IF(OR(H276="",O276=""),"",H276-O276)</f>
        <v/>
      </c>
      <c r="Q276" s="8"/>
      <c r="R276" s="6" t="str">
        <f aca="false">IF(J276="","",YEAR(J276))</f>
        <v/>
      </c>
      <c r="S276" s="6" t="str">
        <f aca="false">IF(J276="","",MONTH(J276))</f>
        <v/>
      </c>
    </row>
    <row r="277" customFormat="false" ht="15" hidden="false" customHeight="false" outlineLevel="0" collapsed="false">
      <c r="A277" s="6" t="str">
        <f aca="false">IF(C277="","",ROW()-5)</f>
        <v/>
      </c>
      <c r="B277" s="7"/>
      <c r="C277" s="8"/>
      <c r="D277" s="8"/>
      <c r="E277" s="8"/>
      <c r="F277" s="9"/>
      <c r="G277" s="10" t="str">
        <f aca="false">IF(E277="","",IFERROR(INDEX(Catálogo!$D$5:$D$34,MATCH(E277,Catálogo!$C$5:$C$34,0)),""))</f>
        <v/>
      </c>
      <c r="H277" s="10" t="str">
        <f aca="false">IF(OR(F277="",G277=""),"",F277*G277)</f>
        <v/>
      </c>
      <c r="I277" s="8"/>
      <c r="J277" s="7"/>
      <c r="K277" s="8"/>
      <c r="L277" s="8"/>
      <c r="M277" s="11"/>
      <c r="N277" s="10" t="str">
        <f aca="false">IF(H277="","",IF(K277="Cancelado",0,H277-M277))</f>
        <v/>
      </c>
      <c r="O277" s="10" t="str">
        <f aca="false">IF(OR(F277="",E277=""),"",IFERROR(IF(INDEX(Catálogo!$E$5:$E$34,MATCH(E277,Catálogo!$C$5:$C$34,0))=0,"",F277*INDEX(Catálogo!$E$5:$E$34,MATCH(E277,Catálogo!$C$5:$C$34,0))),""))</f>
        <v/>
      </c>
      <c r="P277" s="10" t="str">
        <f aca="false">IF(OR(H277="",O277=""),"",H277-O277)</f>
        <v/>
      </c>
      <c r="Q277" s="8"/>
      <c r="R277" s="6" t="str">
        <f aca="false">IF(J277="","",YEAR(J277))</f>
        <v/>
      </c>
      <c r="S277" s="6" t="str">
        <f aca="false">IF(J277="","",MONTH(J277))</f>
        <v/>
      </c>
    </row>
    <row r="278" customFormat="false" ht="15" hidden="false" customHeight="false" outlineLevel="0" collapsed="false">
      <c r="A278" s="6" t="str">
        <f aca="false">IF(C278="","",ROW()-5)</f>
        <v/>
      </c>
      <c r="B278" s="7"/>
      <c r="C278" s="8"/>
      <c r="D278" s="8"/>
      <c r="E278" s="8"/>
      <c r="F278" s="9"/>
      <c r="G278" s="10" t="str">
        <f aca="false">IF(E278="","",IFERROR(INDEX(Catálogo!$D$5:$D$34,MATCH(E278,Catálogo!$C$5:$C$34,0)),""))</f>
        <v/>
      </c>
      <c r="H278" s="10" t="str">
        <f aca="false">IF(OR(F278="",G278=""),"",F278*G278)</f>
        <v/>
      </c>
      <c r="I278" s="8"/>
      <c r="J278" s="7"/>
      <c r="K278" s="8"/>
      <c r="L278" s="8"/>
      <c r="M278" s="11"/>
      <c r="N278" s="10" t="str">
        <f aca="false">IF(H278="","",IF(K278="Cancelado",0,H278-M278))</f>
        <v/>
      </c>
      <c r="O278" s="10" t="str">
        <f aca="false">IF(OR(F278="",E278=""),"",IFERROR(IF(INDEX(Catálogo!$E$5:$E$34,MATCH(E278,Catálogo!$C$5:$C$34,0))=0,"",F278*INDEX(Catálogo!$E$5:$E$34,MATCH(E278,Catálogo!$C$5:$C$34,0))),""))</f>
        <v/>
      </c>
      <c r="P278" s="10" t="str">
        <f aca="false">IF(OR(H278="",O278=""),"",H278-O278)</f>
        <v/>
      </c>
      <c r="Q278" s="8"/>
      <c r="R278" s="6" t="str">
        <f aca="false">IF(J278="","",YEAR(J278))</f>
        <v/>
      </c>
      <c r="S278" s="6" t="str">
        <f aca="false">IF(J278="","",MONTH(J278))</f>
        <v/>
      </c>
    </row>
    <row r="279" customFormat="false" ht="15" hidden="false" customHeight="false" outlineLevel="0" collapsed="false">
      <c r="A279" s="6" t="str">
        <f aca="false">IF(C279="","",ROW()-5)</f>
        <v/>
      </c>
      <c r="B279" s="7"/>
      <c r="C279" s="8"/>
      <c r="D279" s="8"/>
      <c r="E279" s="8"/>
      <c r="F279" s="9"/>
      <c r="G279" s="10" t="str">
        <f aca="false">IF(E279="","",IFERROR(INDEX(Catálogo!$D$5:$D$34,MATCH(E279,Catálogo!$C$5:$C$34,0)),""))</f>
        <v/>
      </c>
      <c r="H279" s="10" t="str">
        <f aca="false">IF(OR(F279="",G279=""),"",F279*G279)</f>
        <v/>
      </c>
      <c r="I279" s="8"/>
      <c r="J279" s="7"/>
      <c r="K279" s="8"/>
      <c r="L279" s="8"/>
      <c r="M279" s="11"/>
      <c r="N279" s="10" t="str">
        <f aca="false">IF(H279="","",IF(K279="Cancelado",0,H279-M279))</f>
        <v/>
      </c>
      <c r="O279" s="10" t="str">
        <f aca="false">IF(OR(F279="",E279=""),"",IFERROR(IF(INDEX(Catálogo!$E$5:$E$34,MATCH(E279,Catálogo!$C$5:$C$34,0))=0,"",F279*INDEX(Catálogo!$E$5:$E$34,MATCH(E279,Catálogo!$C$5:$C$34,0))),""))</f>
        <v/>
      </c>
      <c r="P279" s="10" t="str">
        <f aca="false">IF(OR(H279="",O279=""),"",H279-O279)</f>
        <v/>
      </c>
      <c r="Q279" s="8"/>
      <c r="R279" s="6" t="str">
        <f aca="false">IF(J279="","",YEAR(J279))</f>
        <v/>
      </c>
      <c r="S279" s="6" t="str">
        <f aca="false">IF(J279="","",MONTH(J279))</f>
        <v/>
      </c>
    </row>
    <row r="280" customFormat="false" ht="15" hidden="false" customHeight="false" outlineLevel="0" collapsed="false">
      <c r="A280" s="6" t="str">
        <f aca="false">IF(C280="","",ROW()-5)</f>
        <v/>
      </c>
      <c r="B280" s="7"/>
      <c r="C280" s="8"/>
      <c r="D280" s="8"/>
      <c r="E280" s="8"/>
      <c r="F280" s="9"/>
      <c r="G280" s="10" t="str">
        <f aca="false">IF(E280="","",IFERROR(INDEX(Catálogo!$D$5:$D$34,MATCH(E280,Catálogo!$C$5:$C$34,0)),""))</f>
        <v/>
      </c>
      <c r="H280" s="10" t="str">
        <f aca="false">IF(OR(F280="",G280=""),"",F280*G280)</f>
        <v/>
      </c>
      <c r="I280" s="8"/>
      <c r="J280" s="7"/>
      <c r="K280" s="8"/>
      <c r="L280" s="8"/>
      <c r="M280" s="11"/>
      <c r="N280" s="10" t="str">
        <f aca="false">IF(H280="","",IF(K280="Cancelado",0,H280-M280))</f>
        <v/>
      </c>
      <c r="O280" s="10" t="str">
        <f aca="false">IF(OR(F280="",E280=""),"",IFERROR(IF(INDEX(Catálogo!$E$5:$E$34,MATCH(E280,Catálogo!$C$5:$C$34,0))=0,"",F280*INDEX(Catálogo!$E$5:$E$34,MATCH(E280,Catálogo!$C$5:$C$34,0))),""))</f>
        <v/>
      </c>
      <c r="P280" s="10" t="str">
        <f aca="false">IF(OR(H280="",O280=""),"",H280-O280)</f>
        <v/>
      </c>
      <c r="Q280" s="8"/>
      <c r="R280" s="6" t="str">
        <f aca="false">IF(J280="","",YEAR(J280))</f>
        <v/>
      </c>
      <c r="S280" s="6" t="str">
        <f aca="false">IF(J280="","",MONTH(J280))</f>
        <v/>
      </c>
    </row>
    <row r="281" customFormat="false" ht="15" hidden="false" customHeight="false" outlineLevel="0" collapsed="false">
      <c r="A281" s="6" t="str">
        <f aca="false">IF(C281="","",ROW()-5)</f>
        <v/>
      </c>
      <c r="B281" s="7"/>
      <c r="C281" s="8"/>
      <c r="D281" s="8"/>
      <c r="E281" s="8"/>
      <c r="F281" s="9"/>
      <c r="G281" s="10" t="str">
        <f aca="false">IF(E281="","",IFERROR(INDEX(Catálogo!$D$5:$D$34,MATCH(E281,Catálogo!$C$5:$C$34,0)),""))</f>
        <v/>
      </c>
      <c r="H281" s="10" t="str">
        <f aca="false">IF(OR(F281="",G281=""),"",F281*G281)</f>
        <v/>
      </c>
      <c r="I281" s="8"/>
      <c r="J281" s="7"/>
      <c r="K281" s="8"/>
      <c r="L281" s="8"/>
      <c r="M281" s="11"/>
      <c r="N281" s="10" t="str">
        <f aca="false">IF(H281="","",IF(K281="Cancelado",0,H281-M281))</f>
        <v/>
      </c>
      <c r="O281" s="10" t="str">
        <f aca="false">IF(OR(F281="",E281=""),"",IFERROR(IF(INDEX(Catálogo!$E$5:$E$34,MATCH(E281,Catálogo!$C$5:$C$34,0))=0,"",F281*INDEX(Catálogo!$E$5:$E$34,MATCH(E281,Catálogo!$C$5:$C$34,0))),""))</f>
        <v/>
      </c>
      <c r="P281" s="10" t="str">
        <f aca="false">IF(OR(H281="",O281=""),"",H281-O281)</f>
        <v/>
      </c>
      <c r="Q281" s="8"/>
      <c r="R281" s="6" t="str">
        <f aca="false">IF(J281="","",YEAR(J281))</f>
        <v/>
      </c>
      <c r="S281" s="6" t="str">
        <f aca="false">IF(J281="","",MONTH(J281))</f>
        <v/>
      </c>
    </row>
    <row r="282" customFormat="false" ht="15" hidden="false" customHeight="false" outlineLevel="0" collapsed="false">
      <c r="A282" s="6" t="str">
        <f aca="false">IF(C282="","",ROW()-5)</f>
        <v/>
      </c>
      <c r="B282" s="7"/>
      <c r="C282" s="8"/>
      <c r="D282" s="8"/>
      <c r="E282" s="8"/>
      <c r="F282" s="9"/>
      <c r="G282" s="10" t="str">
        <f aca="false">IF(E282="","",IFERROR(INDEX(Catálogo!$D$5:$D$34,MATCH(E282,Catálogo!$C$5:$C$34,0)),""))</f>
        <v/>
      </c>
      <c r="H282" s="10" t="str">
        <f aca="false">IF(OR(F282="",G282=""),"",F282*G282)</f>
        <v/>
      </c>
      <c r="I282" s="8"/>
      <c r="J282" s="7"/>
      <c r="K282" s="8"/>
      <c r="L282" s="8"/>
      <c r="M282" s="11"/>
      <c r="N282" s="10" t="str">
        <f aca="false">IF(H282="","",IF(K282="Cancelado",0,H282-M282))</f>
        <v/>
      </c>
      <c r="O282" s="10" t="str">
        <f aca="false">IF(OR(F282="",E282=""),"",IFERROR(IF(INDEX(Catálogo!$E$5:$E$34,MATCH(E282,Catálogo!$C$5:$C$34,0))=0,"",F282*INDEX(Catálogo!$E$5:$E$34,MATCH(E282,Catálogo!$C$5:$C$34,0))),""))</f>
        <v/>
      </c>
      <c r="P282" s="10" t="str">
        <f aca="false">IF(OR(H282="",O282=""),"",H282-O282)</f>
        <v/>
      </c>
      <c r="Q282" s="8"/>
      <c r="R282" s="6" t="str">
        <f aca="false">IF(J282="","",YEAR(J282))</f>
        <v/>
      </c>
      <c r="S282" s="6" t="str">
        <f aca="false">IF(J282="","",MONTH(J282))</f>
        <v/>
      </c>
    </row>
    <row r="283" customFormat="false" ht="15" hidden="false" customHeight="false" outlineLevel="0" collapsed="false">
      <c r="A283" s="6" t="str">
        <f aca="false">IF(C283="","",ROW()-5)</f>
        <v/>
      </c>
      <c r="B283" s="7"/>
      <c r="C283" s="8"/>
      <c r="D283" s="8"/>
      <c r="E283" s="8"/>
      <c r="F283" s="9"/>
      <c r="G283" s="10" t="str">
        <f aca="false">IF(E283="","",IFERROR(INDEX(Catálogo!$D$5:$D$34,MATCH(E283,Catálogo!$C$5:$C$34,0)),""))</f>
        <v/>
      </c>
      <c r="H283" s="10" t="str">
        <f aca="false">IF(OR(F283="",G283=""),"",F283*G283)</f>
        <v/>
      </c>
      <c r="I283" s="8"/>
      <c r="J283" s="7"/>
      <c r="K283" s="8"/>
      <c r="L283" s="8"/>
      <c r="M283" s="11"/>
      <c r="N283" s="10" t="str">
        <f aca="false">IF(H283="","",IF(K283="Cancelado",0,H283-M283))</f>
        <v/>
      </c>
      <c r="O283" s="10" t="str">
        <f aca="false">IF(OR(F283="",E283=""),"",IFERROR(IF(INDEX(Catálogo!$E$5:$E$34,MATCH(E283,Catálogo!$C$5:$C$34,0))=0,"",F283*INDEX(Catálogo!$E$5:$E$34,MATCH(E283,Catálogo!$C$5:$C$34,0))),""))</f>
        <v/>
      </c>
      <c r="P283" s="10" t="str">
        <f aca="false">IF(OR(H283="",O283=""),"",H283-O283)</f>
        <v/>
      </c>
      <c r="Q283" s="8"/>
      <c r="R283" s="6" t="str">
        <f aca="false">IF(J283="","",YEAR(J283))</f>
        <v/>
      </c>
      <c r="S283" s="6" t="str">
        <f aca="false">IF(J283="","",MONTH(J283))</f>
        <v/>
      </c>
    </row>
    <row r="284" customFormat="false" ht="15" hidden="false" customHeight="false" outlineLevel="0" collapsed="false">
      <c r="A284" s="6" t="str">
        <f aca="false">IF(C284="","",ROW()-5)</f>
        <v/>
      </c>
      <c r="B284" s="7"/>
      <c r="C284" s="8"/>
      <c r="D284" s="8"/>
      <c r="E284" s="8"/>
      <c r="F284" s="9"/>
      <c r="G284" s="10" t="str">
        <f aca="false">IF(E284="","",IFERROR(INDEX(Catálogo!$D$5:$D$34,MATCH(E284,Catálogo!$C$5:$C$34,0)),""))</f>
        <v/>
      </c>
      <c r="H284" s="10" t="str">
        <f aca="false">IF(OR(F284="",G284=""),"",F284*G284)</f>
        <v/>
      </c>
      <c r="I284" s="8"/>
      <c r="J284" s="7"/>
      <c r="K284" s="8"/>
      <c r="L284" s="8"/>
      <c r="M284" s="11"/>
      <c r="N284" s="10" t="str">
        <f aca="false">IF(H284="","",IF(K284="Cancelado",0,H284-M284))</f>
        <v/>
      </c>
      <c r="O284" s="10" t="str">
        <f aca="false">IF(OR(F284="",E284=""),"",IFERROR(IF(INDEX(Catálogo!$E$5:$E$34,MATCH(E284,Catálogo!$C$5:$C$34,0))=0,"",F284*INDEX(Catálogo!$E$5:$E$34,MATCH(E284,Catálogo!$C$5:$C$34,0))),""))</f>
        <v/>
      </c>
      <c r="P284" s="10" t="str">
        <f aca="false">IF(OR(H284="",O284=""),"",H284-O284)</f>
        <v/>
      </c>
      <c r="Q284" s="8"/>
      <c r="R284" s="6" t="str">
        <f aca="false">IF(J284="","",YEAR(J284))</f>
        <v/>
      </c>
      <c r="S284" s="6" t="str">
        <f aca="false">IF(J284="","",MONTH(J284))</f>
        <v/>
      </c>
    </row>
    <row r="285" customFormat="false" ht="15" hidden="false" customHeight="false" outlineLevel="0" collapsed="false">
      <c r="A285" s="6" t="str">
        <f aca="false">IF(C285="","",ROW()-5)</f>
        <v/>
      </c>
      <c r="B285" s="7"/>
      <c r="C285" s="8"/>
      <c r="D285" s="8"/>
      <c r="E285" s="8"/>
      <c r="F285" s="9"/>
      <c r="G285" s="10" t="str">
        <f aca="false">IF(E285="","",IFERROR(INDEX(Catálogo!$D$5:$D$34,MATCH(E285,Catálogo!$C$5:$C$34,0)),""))</f>
        <v/>
      </c>
      <c r="H285" s="10" t="str">
        <f aca="false">IF(OR(F285="",G285=""),"",F285*G285)</f>
        <v/>
      </c>
      <c r="I285" s="8"/>
      <c r="J285" s="7"/>
      <c r="K285" s="8"/>
      <c r="L285" s="8"/>
      <c r="M285" s="11"/>
      <c r="N285" s="10" t="str">
        <f aca="false">IF(H285="","",IF(K285="Cancelado",0,H285-M285))</f>
        <v/>
      </c>
      <c r="O285" s="10" t="str">
        <f aca="false">IF(OR(F285="",E285=""),"",IFERROR(IF(INDEX(Catálogo!$E$5:$E$34,MATCH(E285,Catálogo!$C$5:$C$34,0))=0,"",F285*INDEX(Catálogo!$E$5:$E$34,MATCH(E285,Catálogo!$C$5:$C$34,0))),""))</f>
        <v/>
      </c>
      <c r="P285" s="10" t="str">
        <f aca="false">IF(OR(H285="",O285=""),"",H285-O285)</f>
        <v/>
      </c>
      <c r="Q285" s="8"/>
      <c r="R285" s="6" t="str">
        <f aca="false">IF(J285="","",YEAR(J285))</f>
        <v/>
      </c>
      <c r="S285" s="6" t="str">
        <f aca="false">IF(J285="","",MONTH(J285))</f>
        <v/>
      </c>
    </row>
    <row r="286" customFormat="false" ht="15" hidden="false" customHeight="false" outlineLevel="0" collapsed="false">
      <c r="A286" s="6" t="str">
        <f aca="false">IF(C286="","",ROW()-5)</f>
        <v/>
      </c>
      <c r="B286" s="7"/>
      <c r="C286" s="8"/>
      <c r="D286" s="8"/>
      <c r="E286" s="8"/>
      <c r="F286" s="9"/>
      <c r="G286" s="10" t="str">
        <f aca="false">IF(E286="","",IFERROR(INDEX(Catálogo!$D$5:$D$34,MATCH(E286,Catálogo!$C$5:$C$34,0)),""))</f>
        <v/>
      </c>
      <c r="H286" s="10" t="str">
        <f aca="false">IF(OR(F286="",G286=""),"",F286*G286)</f>
        <v/>
      </c>
      <c r="I286" s="8"/>
      <c r="J286" s="7"/>
      <c r="K286" s="8"/>
      <c r="L286" s="8"/>
      <c r="M286" s="11"/>
      <c r="N286" s="10" t="str">
        <f aca="false">IF(H286="","",IF(K286="Cancelado",0,H286-M286))</f>
        <v/>
      </c>
      <c r="O286" s="10" t="str">
        <f aca="false">IF(OR(F286="",E286=""),"",IFERROR(IF(INDEX(Catálogo!$E$5:$E$34,MATCH(E286,Catálogo!$C$5:$C$34,0))=0,"",F286*INDEX(Catálogo!$E$5:$E$34,MATCH(E286,Catálogo!$C$5:$C$34,0))),""))</f>
        <v/>
      </c>
      <c r="P286" s="10" t="str">
        <f aca="false">IF(OR(H286="",O286=""),"",H286-O286)</f>
        <v/>
      </c>
      <c r="Q286" s="8"/>
      <c r="R286" s="6" t="str">
        <f aca="false">IF(J286="","",YEAR(J286))</f>
        <v/>
      </c>
      <c r="S286" s="6" t="str">
        <f aca="false">IF(J286="","",MONTH(J286))</f>
        <v/>
      </c>
    </row>
    <row r="287" customFormat="false" ht="15" hidden="false" customHeight="false" outlineLevel="0" collapsed="false">
      <c r="A287" s="6" t="str">
        <f aca="false">IF(C287="","",ROW()-5)</f>
        <v/>
      </c>
      <c r="B287" s="7"/>
      <c r="C287" s="8"/>
      <c r="D287" s="8"/>
      <c r="E287" s="8"/>
      <c r="F287" s="9"/>
      <c r="G287" s="10" t="str">
        <f aca="false">IF(E287="","",IFERROR(INDEX(Catálogo!$D$5:$D$34,MATCH(E287,Catálogo!$C$5:$C$34,0)),""))</f>
        <v/>
      </c>
      <c r="H287" s="10" t="str">
        <f aca="false">IF(OR(F287="",G287=""),"",F287*G287)</f>
        <v/>
      </c>
      <c r="I287" s="8"/>
      <c r="J287" s="7"/>
      <c r="K287" s="8"/>
      <c r="L287" s="8"/>
      <c r="M287" s="11"/>
      <c r="N287" s="10" t="str">
        <f aca="false">IF(H287="","",IF(K287="Cancelado",0,H287-M287))</f>
        <v/>
      </c>
      <c r="O287" s="10" t="str">
        <f aca="false">IF(OR(F287="",E287=""),"",IFERROR(IF(INDEX(Catálogo!$E$5:$E$34,MATCH(E287,Catálogo!$C$5:$C$34,0))=0,"",F287*INDEX(Catálogo!$E$5:$E$34,MATCH(E287,Catálogo!$C$5:$C$34,0))),""))</f>
        <v/>
      </c>
      <c r="P287" s="10" t="str">
        <f aca="false">IF(OR(H287="",O287=""),"",H287-O287)</f>
        <v/>
      </c>
      <c r="Q287" s="8"/>
      <c r="R287" s="6" t="str">
        <f aca="false">IF(J287="","",YEAR(J287))</f>
        <v/>
      </c>
      <c r="S287" s="6" t="str">
        <f aca="false">IF(J287="","",MONTH(J287))</f>
        <v/>
      </c>
    </row>
    <row r="288" customFormat="false" ht="15" hidden="false" customHeight="false" outlineLevel="0" collapsed="false">
      <c r="A288" s="6" t="str">
        <f aca="false">IF(C288="","",ROW()-5)</f>
        <v/>
      </c>
      <c r="B288" s="7"/>
      <c r="C288" s="8"/>
      <c r="D288" s="8"/>
      <c r="E288" s="8"/>
      <c r="F288" s="9"/>
      <c r="G288" s="10" t="str">
        <f aca="false">IF(E288="","",IFERROR(INDEX(Catálogo!$D$5:$D$34,MATCH(E288,Catálogo!$C$5:$C$34,0)),""))</f>
        <v/>
      </c>
      <c r="H288" s="10" t="str">
        <f aca="false">IF(OR(F288="",G288=""),"",F288*G288)</f>
        <v/>
      </c>
      <c r="I288" s="8"/>
      <c r="J288" s="7"/>
      <c r="K288" s="8"/>
      <c r="L288" s="8"/>
      <c r="M288" s="11"/>
      <c r="N288" s="10" t="str">
        <f aca="false">IF(H288="","",IF(K288="Cancelado",0,H288-M288))</f>
        <v/>
      </c>
      <c r="O288" s="10" t="str">
        <f aca="false">IF(OR(F288="",E288=""),"",IFERROR(IF(INDEX(Catálogo!$E$5:$E$34,MATCH(E288,Catálogo!$C$5:$C$34,0))=0,"",F288*INDEX(Catálogo!$E$5:$E$34,MATCH(E288,Catálogo!$C$5:$C$34,0))),""))</f>
        <v/>
      </c>
      <c r="P288" s="10" t="str">
        <f aca="false">IF(OR(H288="",O288=""),"",H288-O288)</f>
        <v/>
      </c>
      <c r="Q288" s="8"/>
      <c r="R288" s="6" t="str">
        <f aca="false">IF(J288="","",YEAR(J288))</f>
        <v/>
      </c>
      <c r="S288" s="6" t="str">
        <f aca="false">IF(J288="","",MONTH(J288))</f>
        <v/>
      </c>
    </row>
    <row r="289" customFormat="false" ht="15" hidden="false" customHeight="false" outlineLevel="0" collapsed="false">
      <c r="A289" s="6" t="str">
        <f aca="false">IF(C289="","",ROW()-5)</f>
        <v/>
      </c>
      <c r="B289" s="7"/>
      <c r="C289" s="8"/>
      <c r="D289" s="8"/>
      <c r="E289" s="8"/>
      <c r="F289" s="9"/>
      <c r="G289" s="10" t="str">
        <f aca="false">IF(E289="","",IFERROR(INDEX(Catálogo!$D$5:$D$34,MATCH(E289,Catálogo!$C$5:$C$34,0)),""))</f>
        <v/>
      </c>
      <c r="H289" s="10" t="str">
        <f aca="false">IF(OR(F289="",G289=""),"",F289*G289)</f>
        <v/>
      </c>
      <c r="I289" s="8"/>
      <c r="J289" s="7"/>
      <c r="K289" s="8"/>
      <c r="L289" s="8"/>
      <c r="M289" s="11"/>
      <c r="N289" s="10" t="str">
        <f aca="false">IF(H289="","",IF(K289="Cancelado",0,H289-M289))</f>
        <v/>
      </c>
      <c r="O289" s="10" t="str">
        <f aca="false">IF(OR(F289="",E289=""),"",IFERROR(IF(INDEX(Catálogo!$E$5:$E$34,MATCH(E289,Catálogo!$C$5:$C$34,0))=0,"",F289*INDEX(Catálogo!$E$5:$E$34,MATCH(E289,Catálogo!$C$5:$C$34,0))),""))</f>
        <v/>
      </c>
      <c r="P289" s="10" t="str">
        <f aca="false">IF(OR(H289="",O289=""),"",H289-O289)</f>
        <v/>
      </c>
      <c r="Q289" s="8"/>
      <c r="R289" s="6" t="str">
        <f aca="false">IF(J289="","",YEAR(J289))</f>
        <v/>
      </c>
      <c r="S289" s="6" t="str">
        <f aca="false">IF(J289="","",MONTH(J289))</f>
        <v/>
      </c>
    </row>
    <row r="290" customFormat="false" ht="15" hidden="false" customHeight="false" outlineLevel="0" collapsed="false">
      <c r="A290" s="6" t="str">
        <f aca="false">IF(C290="","",ROW()-5)</f>
        <v/>
      </c>
      <c r="B290" s="7"/>
      <c r="C290" s="8"/>
      <c r="D290" s="8"/>
      <c r="E290" s="8"/>
      <c r="F290" s="9"/>
      <c r="G290" s="10" t="str">
        <f aca="false">IF(E290="","",IFERROR(INDEX(Catálogo!$D$5:$D$34,MATCH(E290,Catálogo!$C$5:$C$34,0)),""))</f>
        <v/>
      </c>
      <c r="H290" s="10" t="str">
        <f aca="false">IF(OR(F290="",G290=""),"",F290*G290)</f>
        <v/>
      </c>
      <c r="I290" s="8"/>
      <c r="J290" s="7"/>
      <c r="K290" s="8"/>
      <c r="L290" s="8"/>
      <c r="M290" s="11"/>
      <c r="N290" s="10" t="str">
        <f aca="false">IF(H290="","",IF(K290="Cancelado",0,H290-M290))</f>
        <v/>
      </c>
      <c r="O290" s="10" t="str">
        <f aca="false">IF(OR(F290="",E290=""),"",IFERROR(IF(INDEX(Catálogo!$E$5:$E$34,MATCH(E290,Catálogo!$C$5:$C$34,0))=0,"",F290*INDEX(Catálogo!$E$5:$E$34,MATCH(E290,Catálogo!$C$5:$C$34,0))),""))</f>
        <v/>
      </c>
      <c r="P290" s="10" t="str">
        <f aca="false">IF(OR(H290="",O290=""),"",H290-O290)</f>
        <v/>
      </c>
      <c r="Q290" s="8"/>
      <c r="R290" s="6" t="str">
        <f aca="false">IF(J290="","",YEAR(J290))</f>
        <v/>
      </c>
      <c r="S290" s="6" t="str">
        <f aca="false">IF(J290="","",MONTH(J290))</f>
        <v/>
      </c>
    </row>
    <row r="291" customFormat="false" ht="15" hidden="false" customHeight="false" outlineLevel="0" collapsed="false">
      <c r="A291" s="6" t="str">
        <f aca="false">IF(C291="","",ROW()-5)</f>
        <v/>
      </c>
      <c r="B291" s="7"/>
      <c r="C291" s="8"/>
      <c r="D291" s="8"/>
      <c r="E291" s="8"/>
      <c r="F291" s="9"/>
      <c r="G291" s="10" t="str">
        <f aca="false">IF(E291="","",IFERROR(INDEX(Catálogo!$D$5:$D$34,MATCH(E291,Catálogo!$C$5:$C$34,0)),""))</f>
        <v/>
      </c>
      <c r="H291" s="10" t="str">
        <f aca="false">IF(OR(F291="",G291=""),"",F291*G291)</f>
        <v/>
      </c>
      <c r="I291" s="8"/>
      <c r="J291" s="7"/>
      <c r="K291" s="8"/>
      <c r="L291" s="8"/>
      <c r="M291" s="11"/>
      <c r="N291" s="10" t="str">
        <f aca="false">IF(H291="","",IF(K291="Cancelado",0,H291-M291))</f>
        <v/>
      </c>
      <c r="O291" s="10" t="str">
        <f aca="false">IF(OR(F291="",E291=""),"",IFERROR(IF(INDEX(Catálogo!$E$5:$E$34,MATCH(E291,Catálogo!$C$5:$C$34,0))=0,"",F291*INDEX(Catálogo!$E$5:$E$34,MATCH(E291,Catálogo!$C$5:$C$34,0))),""))</f>
        <v/>
      </c>
      <c r="P291" s="10" t="str">
        <f aca="false">IF(OR(H291="",O291=""),"",H291-O291)</f>
        <v/>
      </c>
      <c r="Q291" s="8"/>
      <c r="R291" s="6" t="str">
        <f aca="false">IF(J291="","",YEAR(J291))</f>
        <v/>
      </c>
      <c r="S291" s="6" t="str">
        <f aca="false">IF(J291="","",MONTH(J291))</f>
        <v/>
      </c>
    </row>
    <row r="292" customFormat="false" ht="15" hidden="false" customHeight="false" outlineLevel="0" collapsed="false">
      <c r="A292" s="6" t="str">
        <f aca="false">IF(C292="","",ROW()-5)</f>
        <v/>
      </c>
      <c r="B292" s="7"/>
      <c r="C292" s="8"/>
      <c r="D292" s="8"/>
      <c r="E292" s="8"/>
      <c r="F292" s="9"/>
      <c r="G292" s="10" t="str">
        <f aca="false">IF(E292="","",IFERROR(INDEX(Catálogo!$D$5:$D$34,MATCH(E292,Catálogo!$C$5:$C$34,0)),""))</f>
        <v/>
      </c>
      <c r="H292" s="10" t="str">
        <f aca="false">IF(OR(F292="",G292=""),"",F292*G292)</f>
        <v/>
      </c>
      <c r="I292" s="8"/>
      <c r="J292" s="7"/>
      <c r="K292" s="8"/>
      <c r="L292" s="8"/>
      <c r="M292" s="11"/>
      <c r="N292" s="10" t="str">
        <f aca="false">IF(H292="","",IF(K292="Cancelado",0,H292-M292))</f>
        <v/>
      </c>
      <c r="O292" s="10" t="str">
        <f aca="false">IF(OR(F292="",E292=""),"",IFERROR(IF(INDEX(Catálogo!$E$5:$E$34,MATCH(E292,Catálogo!$C$5:$C$34,0))=0,"",F292*INDEX(Catálogo!$E$5:$E$34,MATCH(E292,Catálogo!$C$5:$C$34,0))),""))</f>
        <v/>
      </c>
      <c r="P292" s="10" t="str">
        <f aca="false">IF(OR(H292="",O292=""),"",H292-O292)</f>
        <v/>
      </c>
      <c r="Q292" s="8"/>
      <c r="R292" s="6" t="str">
        <f aca="false">IF(J292="","",YEAR(J292))</f>
        <v/>
      </c>
      <c r="S292" s="6" t="str">
        <f aca="false">IF(J292="","",MONTH(J292))</f>
        <v/>
      </c>
    </row>
    <row r="293" customFormat="false" ht="15" hidden="false" customHeight="false" outlineLevel="0" collapsed="false">
      <c r="A293" s="6" t="str">
        <f aca="false">IF(C293="","",ROW()-5)</f>
        <v/>
      </c>
      <c r="B293" s="7"/>
      <c r="C293" s="8"/>
      <c r="D293" s="8"/>
      <c r="E293" s="8"/>
      <c r="F293" s="9"/>
      <c r="G293" s="10" t="str">
        <f aca="false">IF(E293="","",IFERROR(INDEX(Catálogo!$D$5:$D$34,MATCH(E293,Catálogo!$C$5:$C$34,0)),""))</f>
        <v/>
      </c>
      <c r="H293" s="10" t="str">
        <f aca="false">IF(OR(F293="",G293=""),"",F293*G293)</f>
        <v/>
      </c>
      <c r="I293" s="8"/>
      <c r="J293" s="7"/>
      <c r="K293" s="8"/>
      <c r="L293" s="8"/>
      <c r="M293" s="11"/>
      <c r="N293" s="10" t="str">
        <f aca="false">IF(H293="","",IF(K293="Cancelado",0,H293-M293))</f>
        <v/>
      </c>
      <c r="O293" s="10" t="str">
        <f aca="false">IF(OR(F293="",E293=""),"",IFERROR(IF(INDEX(Catálogo!$E$5:$E$34,MATCH(E293,Catálogo!$C$5:$C$34,0))=0,"",F293*INDEX(Catálogo!$E$5:$E$34,MATCH(E293,Catálogo!$C$5:$C$34,0))),""))</f>
        <v/>
      </c>
      <c r="P293" s="10" t="str">
        <f aca="false">IF(OR(H293="",O293=""),"",H293-O293)</f>
        <v/>
      </c>
      <c r="Q293" s="8"/>
      <c r="R293" s="6" t="str">
        <f aca="false">IF(J293="","",YEAR(J293))</f>
        <v/>
      </c>
      <c r="S293" s="6" t="str">
        <f aca="false">IF(J293="","",MONTH(J293))</f>
        <v/>
      </c>
    </row>
    <row r="294" customFormat="false" ht="15" hidden="false" customHeight="false" outlineLevel="0" collapsed="false">
      <c r="A294" s="6" t="str">
        <f aca="false">IF(C294="","",ROW()-5)</f>
        <v/>
      </c>
      <c r="B294" s="7"/>
      <c r="C294" s="8"/>
      <c r="D294" s="8"/>
      <c r="E294" s="8"/>
      <c r="F294" s="9"/>
      <c r="G294" s="10" t="str">
        <f aca="false">IF(E294="","",IFERROR(INDEX(Catálogo!$D$5:$D$34,MATCH(E294,Catálogo!$C$5:$C$34,0)),""))</f>
        <v/>
      </c>
      <c r="H294" s="10" t="str">
        <f aca="false">IF(OR(F294="",G294=""),"",F294*G294)</f>
        <v/>
      </c>
      <c r="I294" s="8"/>
      <c r="J294" s="7"/>
      <c r="K294" s="8"/>
      <c r="L294" s="8"/>
      <c r="M294" s="11"/>
      <c r="N294" s="10" t="str">
        <f aca="false">IF(H294="","",IF(K294="Cancelado",0,H294-M294))</f>
        <v/>
      </c>
      <c r="O294" s="10" t="str">
        <f aca="false">IF(OR(F294="",E294=""),"",IFERROR(IF(INDEX(Catálogo!$E$5:$E$34,MATCH(E294,Catálogo!$C$5:$C$34,0))=0,"",F294*INDEX(Catálogo!$E$5:$E$34,MATCH(E294,Catálogo!$C$5:$C$34,0))),""))</f>
        <v/>
      </c>
      <c r="P294" s="10" t="str">
        <f aca="false">IF(OR(H294="",O294=""),"",H294-O294)</f>
        <v/>
      </c>
      <c r="Q294" s="8"/>
      <c r="R294" s="6" t="str">
        <f aca="false">IF(J294="","",YEAR(J294))</f>
        <v/>
      </c>
      <c r="S294" s="6" t="str">
        <f aca="false">IF(J294="","",MONTH(J294))</f>
        <v/>
      </c>
    </row>
    <row r="295" customFormat="false" ht="15" hidden="false" customHeight="false" outlineLevel="0" collapsed="false">
      <c r="A295" s="6" t="str">
        <f aca="false">IF(C295="","",ROW()-5)</f>
        <v/>
      </c>
      <c r="B295" s="7"/>
      <c r="C295" s="8"/>
      <c r="D295" s="8"/>
      <c r="E295" s="8"/>
      <c r="F295" s="9"/>
      <c r="G295" s="10" t="str">
        <f aca="false">IF(E295="","",IFERROR(INDEX(Catálogo!$D$5:$D$34,MATCH(E295,Catálogo!$C$5:$C$34,0)),""))</f>
        <v/>
      </c>
      <c r="H295" s="10" t="str">
        <f aca="false">IF(OR(F295="",G295=""),"",F295*G295)</f>
        <v/>
      </c>
      <c r="I295" s="8"/>
      <c r="J295" s="7"/>
      <c r="K295" s="8"/>
      <c r="L295" s="8"/>
      <c r="M295" s="11"/>
      <c r="N295" s="10" t="str">
        <f aca="false">IF(H295="","",IF(K295="Cancelado",0,H295-M295))</f>
        <v/>
      </c>
      <c r="O295" s="10" t="str">
        <f aca="false">IF(OR(F295="",E295=""),"",IFERROR(IF(INDEX(Catálogo!$E$5:$E$34,MATCH(E295,Catálogo!$C$5:$C$34,0))=0,"",F295*INDEX(Catálogo!$E$5:$E$34,MATCH(E295,Catálogo!$C$5:$C$34,0))),""))</f>
        <v/>
      </c>
      <c r="P295" s="10" t="str">
        <f aca="false">IF(OR(H295="",O295=""),"",H295-O295)</f>
        <v/>
      </c>
      <c r="Q295" s="8"/>
      <c r="R295" s="6" t="str">
        <f aca="false">IF(J295="","",YEAR(J295))</f>
        <v/>
      </c>
      <c r="S295" s="6" t="str">
        <f aca="false">IF(J295="","",MONTH(J295))</f>
        <v/>
      </c>
    </row>
    <row r="296" customFormat="false" ht="15" hidden="false" customHeight="false" outlineLevel="0" collapsed="false">
      <c r="A296" s="6" t="str">
        <f aca="false">IF(C296="","",ROW()-5)</f>
        <v/>
      </c>
      <c r="B296" s="7"/>
      <c r="C296" s="8"/>
      <c r="D296" s="8"/>
      <c r="E296" s="8"/>
      <c r="F296" s="9"/>
      <c r="G296" s="10" t="str">
        <f aca="false">IF(E296="","",IFERROR(INDEX(Catálogo!$D$5:$D$34,MATCH(E296,Catálogo!$C$5:$C$34,0)),""))</f>
        <v/>
      </c>
      <c r="H296" s="10" t="str">
        <f aca="false">IF(OR(F296="",G296=""),"",F296*G296)</f>
        <v/>
      </c>
      <c r="I296" s="8"/>
      <c r="J296" s="7"/>
      <c r="K296" s="8"/>
      <c r="L296" s="8"/>
      <c r="M296" s="11"/>
      <c r="N296" s="10" t="str">
        <f aca="false">IF(H296="","",IF(K296="Cancelado",0,H296-M296))</f>
        <v/>
      </c>
      <c r="O296" s="10" t="str">
        <f aca="false">IF(OR(F296="",E296=""),"",IFERROR(IF(INDEX(Catálogo!$E$5:$E$34,MATCH(E296,Catálogo!$C$5:$C$34,0))=0,"",F296*INDEX(Catálogo!$E$5:$E$34,MATCH(E296,Catálogo!$C$5:$C$34,0))),""))</f>
        <v/>
      </c>
      <c r="P296" s="10" t="str">
        <f aca="false">IF(OR(H296="",O296=""),"",H296-O296)</f>
        <v/>
      </c>
      <c r="Q296" s="8"/>
      <c r="R296" s="6" t="str">
        <f aca="false">IF(J296="","",YEAR(J296))</f>
        <v/>
      </c>
      <c r="S296" s="6" t="str">
        <f aca="false">IF(J296="","",MONTH(J296))</f>
        <v/>
      </c>
    </row>
    <row r="297" customFormat="false" ht="15" hidden="false" customHeight="false" outlineLevel="0" collapsed="false">
      <c r="A297" s="6" t="str">
        <f aca="false">IF(C297="","",ROW()-5)</f>
        <v/>
      </c>
      <c r="B297" s="7"/>
      <c r="C297" s="8"/>
      <c r="D297" s="8"/>
      <c r="E297" s="8"/>
      <c r="F297" s="9"/>
      <c r="G297" s="10" t="str">
        <f aca="false">IF(E297="","",IFERROR(INDEX(Catálogo!$D$5:$D$34,MATCH(E297,Catálogo!$C$5:$C$34,0)),""))</f>
        <v/>
      </c>
      <c r="H297" s="10" t="str">
        <f aca="false">IF(OR(F297="",G297=""),"",F297*G297)</f>
        <v/>
      </c>
      <c r="I297" s="8"/>
      <c r="J297" s="7"/>
      <c r="K297" s="8"/>
      <c r="L297" s="8"/>
      <c r="M297" s="11"/>
      <c r="N297" s="10" t="str">
        <f aca="false">IF(H297="","",IF(K297="Cancelado",0,H297-M297))</f>
        <v/>
      </c>
      <c r="O297" s="10" t="str">
        <f aca="false">IF(OR(F297="",E297=""),"",IFERROR(IF(INDEX(Catálogo!$E$5:$E$34,MATCH(E297,Catálogo!$C$5:$C$34,0))=0,"",F297*INDEX(Catálogo!$E$5:$E$34,MATCH(E297,Catálogo!$C$5:$C$34,0))),""))</f>
        <v/>
      </c>
      <c r="P297" s="10" t="str">
        <f aca="false">IF(OR(H297="",O297=""),"",H297-O297)</f>
        <v/>
      </c>
      <c r="Q297" s="8"/>
      <c r="R297" s="6" t="str">
        <f aca="false">IF(J297="","",YEAR(J297))</f>
        <v/>
      </c>
      <c r="S297" s="6" t="str">
        <f aca="false">IF(J297="","",MONTH(J297))</f>
        <v/>
      </c>
    </row>
    <row r="298" customFormat="false" ht="15" hidden="false" customHeight="false" outlineLevel="0" collapsed="false">
      <c r="A298" s="6" t="str">
        <f aca="false">IF(C298="","",ROW()-5)</f>
        <v/>
      </c>
      <c r="B298" s="7"/>
      <c r="C298" s="8"/>
      <c r="D298" s="8"/>
      <c r="E298" s="8"/>
      <c r="F298" s="9"/>
      <c r="G298" s="10" t="str">
        <f aca="false">IF(E298="","",IFERROR(INDEX(Catálogo!$D$5:$D$34,MATCH(E298,Catálogo!$C$5:$C$34,0)),""))</f>
        <v/>
      </c>
      <c r="H298" s="10" t="str">
        <f aca="false">IF(OR(F298="",G298=""),"",F298*G298)</f>
        <v/>
      </c>
      <c r="I298" s="8"/>
      <c r="J298" s="7"/>
      <c r="K298" s="8"/>
      <c r="L298" s="8"/>
      <c r="M298" s="11"/>
      <c r="N298" s="10" t="str">
        <f aca="false">IF(H298="","",IF(K298="Cancelado",0,H298-M298))</f>
        <v/>
      </c>
      <c r="O298" s="10" t="str">
        <f aca="false">IF(OR(F298="",E298=""),"",IFERROR(IF(INDEX(Catálogo!$E$5:$E$34,MATCH(E298,Catálogo!$C$5:$C$34,0))=0,"",F298*INDEX(Catálogo!$E$5:$E$34,MATCH(E298,Catálogo!$C$5:$C$34,0))),""))</f>
        <v/>
      </c>
      <c r="P298" s="10" t="str">
        <f aca="false">IF(OR(H298="",O298=""),"",H298-O298)</f>
        <v/>
      </c>
      <c r="Q298" s="8"/>
      <c r="R298" s="6" t="str">
        <f aca="false">IF(J298="","",YEAR(J298))</f>
        <v/>
      </c>
      <c r="S298" s="6" t="str">
        <f aca="false">IF(J298="","",MONTH(J298))</f>
        <v/>
      </c>
    </row>
    <row r="299" customFormat="false" ht="15" hidden="false" customHeight="false" outlineLevel="0" collapsed="false">
      <c r="A299" s="6" t="str">
        <f aca="false">IF(C299="","",ROW()-5)</f>
        <v/>
      </c>
      <c r="B299" s="7"/>
      <c r="C299" s="8"/>
      <c r="D299" s="8"/>
      <c r="E299" s="8"/>
      <c r="F299" s="9"/>
      <c r="G299" s="10" t="str">
        <f aca="false">IF(E299="","",IFERROR(INDEX(Catálogo!$D$5:$D$34,MATCH(E299,Catálogo!$C$5:$C$34,0)),""))</f>
        <v/>
      </c>
      <c r="H299" s="10" t="str">
        <f aca="false">IF(OR(F299="",G299=""),"",F299*G299)</f>
        <v/>
      </c>
      <c r="I299" s="8"/>
      <c r="J299" s="7"/>
      <c r="K299" s="8"/>
      <c r="L299" s="8"/>
      <c r="M299" s="11"/>
      <c r="N299" s="10" t="str">
        <f aca="false">IF(H299="","",IF(K299="Cancelado",0,H299-M299))</f>
        <v/>
      </c>
      <c r="O299" s="10" t="str">
        <f aca="false">IF(OR(F299="",E299=""),"",IFERROR(IF(INDEX(Catálogo!$E$5:$E$34,MATCH(E299,Catálogo!$C$5:$C$34,0))=0,"",F299*INDEX(Catálogo!$E$5:$E$34,MATCH(E299,Catálogo!$C$5:$C$34,0))),""))</f>
        <v/>
      </c>
      <c r="P299" s="10" t="str">
        <f aca="false">IF(OR(H299="",O299=""),"",H299-O299)</f>
        <v/>
      </c>
      <c r="Q299" s="8"/>
      <c r="R299" s="6" t="str">
        <f aca="false">IF(J299="","",YEAR(J299))</f>
        <v/>
      </c>
      <c r="S299" s="6" t="str">
        <f aca="false">IF(J299="","",MONTH(J299))</f>
        <v/>
      </c>
    </row>
    <row r="300" customFormat="false" ht="15" hidden="false" customHeight="false" outlineLevel="0" collapsed="false">
      <c r="A300" s="6" t="str">
        <f aca="false">IF(C300="","",ROW()-5)</f>
        <v/>
      </c>
      <c r="B300" s="7"/>
      <c r="C300" s="8"/>
      <c r="D300" s="8"/>
      <c r="E300" s="8"/>
      <c r="F300" s="9"/>
      <c r="G300" s="10" t="str">
        <f aca="false">IF(E300="","",IFERROR(INDEX(Catálogo!$D$5:$D$34,MATCH(E300,Catálogo!$C$5:$C$34,0)),""))</f>
        <v/>
      </c>
      <c r="H300" s="10" t="str">
        <f aca="false">IF(OR(F300="",G300=""),"",F300*G300)</f>
        <v/>
      </c>
      <c r="I300" s="8"/>
      <c r="J300" s="7"/>
      <c r="K300" s="8"/>
      <c r="L300" s="8"/>
      <c r="M300" s="11"/>
      <c r="N300" s="10" t="str">
        <f aca="false">IF(H300="","",IF(K300="Cancelado",0,H300-M300))</f>
        <v/>
      </c>
      <c r="O300" s="10" t="str">
        <f aca="false">IF(OR(F300="",E300=""),"",IFERROR(IF(INDEX(Catálogo!$E$5:$E$34,MATCH(E300,Catálogo!$C$5:$C$34,0))=0,"",F300*INDEX(Catálogo!$E$5:$E$34,MATCH(E300,Catálogo!$C$5:$C$34,0))),""))</f>
        <v/>
      </c>
      <c r="P300" s="10" t="str">
        <f aca="false">IF(OR(H300="",O300=""),"",H300-O300)</f>
        <v/>
      </c>
      <c r="Q300" s="8"/>
      <c r="R300" s="6" t="str">
        <f aca="false">IF(J300="","",YEAR(J300))</f>
        <v/>
      </c>
      <c r="S300" s="6" t="str">
        <f aca="false">IF(J300="","",MONTH(J300))</f>
        <v/>
      </c>
    </row>
    <row r="301" customFormat="false" ht="15" hidden="false" customHeight="false" outlineLevel="0" collapsed="false">
      <c r="A301" s="6" t="str">
        <f aca="false">IF(C301="","",ROW()-5)</f>
        <v/>
      </c>
      <c r="B301" s="7"/>
      <c r="C301" s="8"/>
      <c r="D301" s="8"/>
      <c r="E301" s="8"/>
      <c r="F301" s="9"/>
      <c r="G301" s="10" t="str">
        <f aca="false">IF(E301="","",IFERROR(INDEX(Catálogo!$D$5:$D$34,MATCH(E301,Catálogo!$C$5:$C$34,0)),""))</f>
        <v/>
      </c>
      <c r="H301" s="10" t="str">
        <f aca="false">IF(OR(F301="",G301=""),"",F301*G301)</f>
        <v/>
      </c>
      <c r="I301" s="8"/>
      <c r="J301" s="7"/>
      <c r="K301" s="8"/>
      <c r="L301" s="8"/>
      <c r="M301" s="11"/>
      <c r="N301" s="10" t="str">
        <f aca="false">IF(H301="","",IF(K301="Cancelado",0,H301-M301))</f>
        <v/>
      </c>
      <c r="O301" s="10" t="str">
        <f aca="false">IF(OR(F301="",E301=""),"",IFERROR(IF(INDEX(Catálogo!$E$5:$E$34,MATCH(E301,Catálogo!$C$5:$C$34,0))=0,"",F301*INDEX(Catálogo!$E$5:$E$34,MATCH(E301,Catálogo!$C$5:$C$34,0))),""))</f>
        <v/>
      </c>
      <c r="P301" s="10" t="str">
        <f aca="false">IF(OR(H301="",O301=""),"",H301-O301)</f>
        <v/>
      </c>
      <c r="Q301" s="8"/>
      <c r="R301" s="6" t="str">
        <f aca="false">IF(J301="","",YEAR(J301))</f>
        <v/>
      </c>
      <c r="S301" s="6" t="str">
        <f aca="false">IF(J301="","",MONTH(J301))</f>
        <v/>
      </c>
    </row>
    <row r="302" customFormat="false" ht="15" hidden="false" customHeight="false" outlineLevel="0" collapsed="false">
      <c r="A302" s="6" t="str">
        <f aca="false">IF(C302="","",ROW()-5)</f>
        <v/>
      </c>
      <c r="B302" s="7"/>
      <c r="C302" s="8"/>
      <c r="D302" s="8"/>
      <c r="E302" s="8"/>
      <c r="F302" s="9"/>
      <c r="G302" s="10" t="str">
        <f aca="false">IF(E302="","",IFERROR(INDEX(Catálogo!$D$5:$D$34,MATCH(E302,Catálogo!$C$5:$C$34,0)),""))</f>
        <v/>
      </c>
      <c r="H302" s="10" t="str">
        <f aca="false">IF(OR(F302="",G302=""),"",F302*G302)</f>
        <v/>
      </c>
      <c r="I302" s="8"/>
      <c r="J302" s="7"/>
      <c r="K302" s="8"/>
      <c r="L302" s="8"/>
      <c r="M302" s="11"/>
      <c r="N302" s="10" t="str">
        <f aca="false">IF(H302="","",IF(K302="Cancelado",0,H302-M302))</f>
        <v/>
      </c>
      <c r="O302" s="10" t="str">
        <f aca="false">IF(OR(F302="",E302=""),"",IFERROR(IF(INDEX(Catálogo!$E$5:$E$34,MATCH(E302,Catálogo!$C$5:$C$34,0))=0,"",F302*INDEX(Catálogo!$E$5:$E$34,MATCH(E302,Catálogo!$C$5:$C$34,0))),""))</f>
        <v/>
      </c>
      <c r="P302" s="10" t="str">
        <f aca="false">IF(OR(H302="",O302=""),"",H302-O302)</f>
        <v/>
      </c>
      <c r="Q302" s="8"/>
      <c r="R302" s="6" t="str">
        <f aca="false">IF(J302="","",YEAR(J302))</f>
        <v/>
      </c>
      <c r="S302" s="6" t="str">
        <f aca="false">IF(J302="","",MONTH(J302))</f>
        <v/>
      </c>
    </row>
    <row r="303" customFormat="false" ht="15" hidden="false" customHeight="false" outlineLevel="0" collapsed="false">
      <c r="A303" s="6" t="str">
        <f aca="false">IF(C303="","",ROW()-5)</f>
        <v/>
      </c>
      <c r="B303" s="7"/>
      <c r="C303" s="8"/>
      <c r="D303" s="8"/>
      <c r="E303" s="8"/>
      <c r="F303" s="9"/>
      <c r="G303" s="10" t="str">
        <f aca="false">IF(E303="","",IFERROR(INDEX(Catálogo!$D$5:$D$34,MATCH(E303,Catálogo!$C$5:$C$34,0)),""))</f>
        <v/>
      </c>
      <c r="H303" s="10" t="str">
        <f aca="false">IF(OR(F303="",G303=""),"",F303*G303)</f>
        <v/>
      </c>
      <c r="I303" s="8"/>
      <c r="J303" s="7"/>
      <c r="K303" s="8"/>
      <c r="L303" s="8"/>
      <c r="M303" s="11"/>
      <c r="N303" s="10" t="str">
        <f aca="false">IF(H303="","",IF(K303="Cancelado",0,H303-M303))</f>
        <v/>
      </c>
      <c r="O303" s="10" t="str">
        <f aca="false">IF(OR(F303="",E303=""),"",IFERROR(IF(INDEX(Catálogo!$E$5:$E$34,MATCH(E303,Catálogo!$C$5:$C$34,0))=0,"",F303*INDEX(Catálogo!$E$5:$E$34,MATCH(E303,Catálogo!$C$5:$C$34,0))),""))</f>
        <v/>
      </c>
      <c r="P303" s="10" t="str">
        <f aca="false">IF(OR(H303="",O303=""),"",H303-O303)</f>
        <v/>
      </c>
      <c r="Q303" s="8"/>
      <c r="R303" s="6" t="str">
        <f aca="false">IF(J303="","",YEAR(J303))</f>
        <v/>
      </c>
      <c r="S303" s="6" t="str">
        <f aca="false">IF(J303="","",MONTH(J303))</f>
        <v/>
      </c>
    </row>
    <row r="304" customFormat="false" ht="15" hidden="false" customHeight="false" outlineLevel="0" collapsed="false">
      <c r="A304" s="6" t="str">
        <f aca="false">IF(C304="","",ROW()-5)</f>
        <v/>
      </c>
      <c r="B304" s="7"/>
      <c r="C304" s="8"/>
      <c r="D304" s="8"/>
      <c r="E304" s="8"/>
      <c r="F304" s="9"/>
      <c r="G304" s="10" t="str">
        <f aca="false">IF(E304="","",IFERROR(INDEX(Catálogo!$D$5:$D$34,MATCH(E304,Catálogo!$C$5:$C$34,0)),""))</f>
        <v/>
      </c>
      <c r="H304" s="10" t="str">
        <f aca="false">IF(OR(F304="",G304=""),"",F304*G304)</f>
        <v/>
      </c>
      <c r="I304" s="8"/>
      <c r="J304" s="7"/>
      <c r="K304" s="8"/>
      <c r="L304" s="8"/>
      <c r="M304" s="11"/>
      <c r="N304" s="10" t="str">
        <f aca="false">IF(H304="","",IF(K304="Cancelado",0,H304-M304))</f>
        <v/>
      </c>
      <c r="O304" s="10" t="str">
        <f aca="false">IF(OR(F304="",E304=""),"",IFERROR(IF(INDEX(Catálogo!$E$5:$E$34,MATCH(E304,Catálogo!$C$5:$C$34,0))=0,"",F304*INDEX(Catálogo!$E$5:$E$34,MATCH(E304,Catálogo!$C$5:$C$34,0))),""))</f>
        <v/>
      </c>
      <c r="P304" s="10" t="str">
        <f aca="false">IF(OR(H304="",O304=""),"",H304-O304)</f>
        <v/>
      </c>
      <c r="Q304" s="8"/>
      <c r="R304" s="6" t="str">
        <f aca="false">IF(J304="","",YEAR(J304))</f>
        <v/>
      </c>
      <c r="S304" s="6" t="str">
        <f aca="false">IF(J304="","",MONTH(J304))</f>
        <v/>
      </c>
    </row>
    <row r="305" customFormat="false" ht="15" hidden="false" customHeight="false" outlineLevel="0" collapsed="false">
      <c r="A305" s="6" t="str">
        <f aca="false">IF(C305="","",ROW()-5)</f>
        <v/>
      </c>
      <c r="B305" s="7"/>
      <c r="C305" s="8"/>
      <c r="D305" s="8"/>
      <c r="E305" s="8"/>
      <c r="F305" s="9"/>
      <c r="G305" s="10" t="str">
        <f aca="false">IF(E305="","",IFERROR(INDEX(Catálogo!$D$5:$D$34,MATCH(E305,Catálogo!$C$5:$C$34,0)),""))</f>
        <v/>
      </c>
      <c r="H305" s="10" t="str">
        <f aca="false">IF(OR(F305="",G305=""),"",F305*G305)</f>
        <v/>
      </c>
      <c r="I305" s="8"/>
      <c r="J305" s="7"/>
      <c r="K305" s="8"/>
      <c r="L305" s="8"/>
      <c r="M305" s="11"/>
      <c r="N305" s="10" t="str">
        <f aca="false">IF(H305="","",IF(K305="Cancelado",0,H305-M305))</f>
        <v/>
      </c>
      <c r="O305" s="10" t="str">
        <f aca="false">IF(OR(F305="",E305=""),"",IFERROR(IF(INDEX(Catálogo!$E$5:$E$34,MATCH(E305,Catálogo!$C$5:$C$34,0))=0,"",F305*INDEX(Catálogo!$E$5:$E$34,MATCH(E305,Catálogo!$C$5:$C$34,0))),""))</f>
        <v/>
      </c>
      <c r="P305" s="10" t="str">
        <f aca="false">IF(OR(H305="",O305=""),"",H305-O305)</f>
        <v/>
      </c>
      <c r="Q305" s="8"/>
      <c r="R305" s="6" t="str">
        <f aca="false">IF(J305="","",YEAR(J305))</f>
        <v/>
      </c>
      <c r="S305" s="6" t="str">
        <f aca="false">IF(J305="","",MONTH(J305))</f>
        <v/>
      </c>
    </row>
  </sheetData>
  <autoFilter ref="A5:S305"/>
  <conditionalFormatting sqref="K6:K305">
    <cfRule type="cellIs" priority="2" operator="equal" aboveAverage="0" equalAverage="0" bottom="0" percent="0" rank="0" text="" dxfId="7">
      <formula>"Pendiente de confirmar"</formula>
    </cfRule>
    <cfRule type="cellIs" priority="3" operator="equal" aboveAverage="0" equalAverage="0" bottom="0" percent="0" rank="0" text="" dxfId="8">
      <formula>"Confirmado"</formula>
    </cfRule>
    <cfRule type="cellIs" priority="4" operator="equal" aboveAverage="0" equalAverage="0" bottom="0" percent="0" rank="0" text="" dxfId="9">
      <formula>"En preparación"</formula>
    </cfRule>
    <cfRule type="cellIs" priority="5" operator="equal" aboveAverage="0" equalAverage="0" bottom="0" percent="0" rank="0" text="" dxfId="10">
      <formula>"Listo"</formula>
    </cfRule>
    <cfRule type="cellIs" priority="6" operator="equal" aboveAverage="0" equalAverage="0" bottom="0" percent="0" rank="0" text="" dxfId="11">
      <formula>"Entregado"</formula>
    </cfRule>
    <cfRule type="cellIs" priority="7" operator="equal" aboveAverage="0" equalAverage="0" bottom="0" percent="0" rank="0" text="" dxfId="12">
      <formula>"Cancelado"</formula>
    </cfRule>
  </conditionalFormatting>
  <conditionalFormatting sqref="N6:N305">
    <cfRule type="expression" priority="8" aboveAverage="0" equalAverage="0" bottom="0" percent="0" rank="0" text="" dxfId="13">
      <formula>AND(ISNUMBER(N6),N6&gt;0)</formula>
    </cfRule>
  </conditionalFormatting>
  <dataValidations count="7">
    <dataValidation allowBlank="true" errorStyle="stop" operator="between" showDropDown="false" showErrorMessage="false" showInputMessage="false" sqref="E6:E305" type="list">
      <formula1>Catálogo!$C$5:$C$34</formula1>
      <formula2>0</formula2>
    </dataValidation>
    <dataValidation allowBlank="true" errorStyle="stop" operator="between" showDropDown="false" showErrorMessage="false" showInputMessage="false" sqref="I6:I305" type="list">
      <formula1>Listas!$C$5:$C$14</formula1>
      <formula2>0</formula2>
    </dataValidation>
    <dataValidation allowBlank="true" errorStyle="stop" operator="between" showDropDown="false" showErrorMessage="false" showInputMessage="false" sqref="K6:K305" type="list">
      <formula1>Listas!$A$5:$A$14</formula1>
      <formula2>0</formula2>
    </dataValidation>
    <dataValidation allowBlank="true" errorStyle="stop" operator="between" showDropDown="false" showErrorMessage="false" showInputMessage="false" sqref="L6:L305" type="list">
      <formula1>Listas!$B$5:$B$14</formula1>
      <formula2>0</formula2>
    </dataValidation>
    <dataValidation allowBlank="true" error="Pon un número entero mayor que 0." errorStyle="stop" errorTitle="Cantidad" operator="greaterThan" showDropDown="false" showErrorMessage="false" showInputMessage="false" sqref="F6:F305" type="whole">
      <formula1>0</formula1>
      <formula2>0</formula2>
    </dataValidation>
    <dataValidation allowBlank="true" error="Escribe una fecha válida, por ejemplo 20/10/2026." errorStyle="stop" errorTitle="Fecha" operator="greaterThan" showDropDown="false" showErrorMessage="false" showInputMessage="false" sqref="B6:B305 J6:J305" type="date">
      <formula1>36526</formula1>
      <formula2>0</formula2>
    </dataValidation>
    <dataValidation allowBlank="true" error="Pon un importe mayor o igual que 0." errorStyle="stop" errorTitle="Importe" operator="greaterThanOrEqual" showDropDown="false" showErrorMessage="false" showInputMessage="false" sqref="M6:M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598"/>
    <pageSetUpPr fitToPage="false"/>
  </sheetPr>
  <dimension ref="A1:I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7"/>
    <col collapsed="false" customWidth="true" hidden="false" outlineLevel="0" max="9" min="9" style="0" width="6"/>
  </cols>
  <sheetData>
    <row r="1" customFormat="false" ht="19.7" hidden="false" customHeight="false" outlineLevel="0" collapsed="false">
      <c r="A1" s="1" t="s">
        <v>50</v>
      </c>
    </row>
    <row r="2" customFormat="false" ht="15" hidden="false" customHeight="false" outlineLevel="0" collapsed="false">
      <c r="A2" s="4" t="s">
        <v>51</v>
      </c>
    </row>
    <row r="5" customFormat="false" ht="31.5" hidden="false" customHeight="true" outlineLevel="0" collapsed="false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35</v>
      </c>
      <c r="G5" s="5" t="s">
        <v>40</v>
      </c>
      <c r="H5" s="5" t="s">
        <v>41</v>
      </c>
      <c r="I5" s="5" t="s">
        <v>42</v>
      </c>
    </row>
    <row r="6" customFormat="false" ht="15" hidden="false" customHeight="false" outlineLevel="0" collapsed="false">
      <c r="A6" s="7" t="n">
        <v>46305</v>
      </c>
      <c r="B6" s="8" t="s">
        <v>57</v>
      </c>
      <c r="C6" s="8" t="s">
        <v>58</v>
      </c>
      <c r="D6" s="8" t="s">
        <v>59</v>
      </c>
      <c r="E6" s="11" t="n">
        <v>42.5</v>
      </c>
      <c r="F6" s="8" t="s">
        <v>60</v>
      </c>
      <c r="G6" s="8" t="s">
        <v>61</v>
      </c>
      <c r="H6" s="6" t="n">
        <f aca="false">IF(A6="","",YEAR(A6))</f>
        <v>2026</v>
      </c>
      <c r="I6" s="6" t="n">
        <f aca="false">IF(A6="","",MONTH(A6))</f>
        <v>10</v>
      </c>
    </row>
    <row r="7" customFormat="false" ht="15" hidden="false" customHeight="false" outlineLevel="0" collapsed="false">
      <c r="A7" s="7"/>
      <c r="B7" s="8"/>
      <c r="C7" s="8"/>
      <c r="D7" s="8"/>
      <c r="E7" s="11"/>
      <c r="F7" s="8"/>
      <c r="G7" s="8"/>
      <c r="H7" s="6" t="str">
        <f aca="false">IF(A7="","",YEAR(A7))</f>
        <v/>
      </c>
      <c r="I7" s="6" t="str">
        <f aca="false">IF(A7="","",MONTH(A7))</f>
        <v/>
      </c>
    </row>
    <row r="8" customFormat="false" ht="15" hidden="false" customHeight="false" outlineLevel="0" collapsed="false">
      <c r="A8" s="7"/>
      <c r="B8" s="8"/>
      <c r="C8" s="8"/>
      <c r="D8" s="8"/>
      <c r="E8" s="11"/>
      <c r="F8" s="8"/>
      <c r="G8" s="8"/>
      <c r="H8" s="6" t="str">
        <f aca="false">IF(A8="","",YEAR(A8))</f>
        <v/>
      </c>
      <c r="I8" s="6" t="str">
        <f aca="false">IF(A8="","",MONTH(A8))</f>
        <v/>
      </c>
    </row>
    <row r="9" customFormat="false" ht="15" hidden="false" customHeight="false" outlineLevel="0" collapsed="false">
      <c r="A9" s="7"/>
      <c r="B9" s="8"/>
      <c r="C9" s="8"/>
      <c r="D9" s="8"/>
      <c r="E9" s="11"/>
      <c r="F9" s="8"/>
      <c r="G9" s="8"/>
      <c r="H9" s="6" t="str">
        <f aca="false">IF(A9="","",YEAR(A9))</f>
        <v/>
      </c>
      <c r="I9" s="6" t="str">
        <f aca="false">IF(A9="","",MONTH(A9))</f>
        <v/>
      </c>
    </row>
    <row r="10" customFormat="false" ht="15" hidden="false" customHeight="false" outlineLevel="0" collapsed="false">
      <c r="A10" s="7"/>
      <c r="B10" s="8"/>
      <c r="C10" s="8"/>
      <c r="D10" s="8"/>
      <c r="E10" s="11"/>
      <c r="F10" s="8"/>
      <c r="G10" s="8"/>
      <c r="H10" s="6" t="str">
        <f aca="false">IF(A10="","",YEAR(A10))</f>
        <v/>
      </c>
      <c r="I10" s="6" t="str">
        <f aca="false">IF(A10="","",MONTH(A10))</f>
        <v/>
      </c>
    </row>
    <row r="11" customFormat="false" ht="15" hidden="false" customHeight="false" outlineLevel="0" collapsed="false">
      <c r="A11" s="7"/>
      <c r="B11" s="8"/>
      <c r="C11" s="8"/>
      <c r="D11" s="8"/>
      <c r="E11" s="11"/>
      <c r="F11" s="8"/>
      <c r="G11" s="8"/>
      <c r="H11" s="6" t="str">
        <f aca="false">IF(A11="","",YEAR(A11))</f>
        <v/>
      </c>
      <c r="I11" s="6" t="str">
        <f aca="false">IF(A11="","",MONTH(A11))</f>
        <v/>
      </c>
    </row>
    <row r="12" customFormat="false" ht="15" hidden="false" customHeight="false" outlineLevel="0" collapsed="false">
      <c r="A12" s="7"/>
      <c r="B12" s="8"/>
      <c r="C12" s="8"/>
      <c r="D12" s="8"/>
      <c r="E12" s="11"/>
      <c r="F12" s="8"/>
      <c r="G12" s="8"/>
      <c r="H12" s="6" t="str">
        <f aca="false">IF(A12="","",YEAR(A12))</f>
        <v/>
      </c>
      <c r="I12" s="6" t="str">
        <f aca="false">IF(A12="","",MONTH(A12))</f>
        <v/>
      </c>
    </row>
    <row r="13" customFormat="false" ht="15" hidden="false" customHeight="false" outlineLevel="0" collapsed="false">
      <c r="A13" s="7"/>
      <c r="B13" s="8"/>
      <c r="C13" s="8"/>
      <c r="D13" s="8"/>
      <c r="E13" s="11"/>
      <c r="F13" s="8"/>
      <c r="G13" s="8"/>
      <c r="H13" s="6" t="str">
        <f aca="false">IF(A13="","",YEAR(A13))</f>
        <v/>
      </c>
      <c r="I13" s="6" t="str">
        <f aca="false">IF(A13="","",MONTH(A13))</f>
        <v/>
      </c>
    </row>
    <row r="14" customFormat="false" ht="15" hidden="false" customHeight="false" outlineLevel="0" collapsed="false">
      <c r="A14" s="7"/>
      <c r="B14" s="8"/>
      <c r="C14" s="8"/>
      <c r="D14" s="8"/>
      <c r="E14" s="11"/>
      <c r="F14" s="8"/>
      <c r="G14" s="8"/>
      <c r="H14" s="6" t="str">
        <f aca="false">IF(A14="","",YEAR(A14))</f>
        <v/>
      </c>
      <c r="I14" s="6" t="str">
        <f aca="false">IF(A14="","",MONTH(A14))</f>
        <v/>
      </c>
    </row>
    <row r="15" customFormat="false" ht="15" hidden="false" customHeight="false" outlineLevel="0" collapsed="false">
      <c r="A15" s="7"/>
      <c r="B15" s="8"/>
      <c r="C15" s="8"/>
      <c r="D15" s="8"/>
      <c r="E15" s="11"/>
      <c r="F15" s="8"/>
      <c r="G15" s="8"/>
      <c r="H15" s="6" t="str">
        <f aca="false">IF(A15="","",YEAR(A15))</f>
        <v/>
      </c>
      <c r="I15" s="6" t="str">
        <f aca="false">IF(A15="","",MONTH(A15))</f>
        <v/>
      </c>
    </row>
    <row r="16" customFormat="false" ht="15" hidden="false" customHeight="false" outlineLevel="0" collapsed="false">
      <c r="A16" s="7"/>
      <c r="B16" s="8"/>
      <c r="C16" s="8"/>
      <c r="D16" s="8"/>
      <c r="E16" s="11"/>
      <c r="F16" s="8"/>
      <c r="G16" s="8"/>
      <c r="H16" s="6" t="str">
        <f aca="false">IF(A16="","",YEAR(A16))</f>
        <v/>
      </c>
      <c r="I16" s="6" t="str">
        <f aca="false">IF(A16="","",MONTH(A16))</f>
        <v/>
      </c>
    </row>
    <row r="17" customFormat="false" ht="15" hidden="false" customHeight="false" outlineLevel="0" collapsed="false">
      <c r="A17" s="7"/>
      <c r="B17" s="8"/>
      <c r="C17" s="8"/>
      <c r="D17" s="8"/>
      <c r="E17" s="11"/>
      <c r="F17" s="8"/>
      <c r="G17" s="8"/>
      <c r="H17" s="6" t="str">
        <f aca="false">IF(A17="","",YEAR(A17))</f>
        <v/>
      </c>
      <c r="I17" s="6" t="str">
        <f aca="false">IF(A17="","",MONTH(A17))</f>
        <v/>
      </c>
    </row>
    <row r="18" customFormat="false" ht="15" hidden="false" customHeight="false" outlineLevel="0" collapsed="false">
      <c r="A18" s="7"/>
      <c r="B18" s="8"/>
      <c r="C18" s="8"/>
      <c r="D18" s="8"/>
      <c r="E18" s="11"/>
      <c r="F18" s="8"/>
      <c r="G18" s="8"/>
      <c r="H18" s="6" t="str">
        <f aca="false">IF(A18="","",YEAR(A18))</f>
        <v/>
      </c>
      <c r="I18" s="6" t="str">
        <f aca="false">IF(A18="","",MONTH(A18))</f>
        <v/>
      </c>
    </row>
    <row r="19" customFormat="false" ht="15" hidden="false" customHeight="false" outlineLevel="0" collapsed="false">
      <c r="A19" s="7"/>
      <c r="B19" s="8"/>
      <c r="C19" s="8"/>
      <c r="D19" s="8"/>
      <c r="E19" s="11"/>
      <c r="F19" s="8"/>
      <c r="G19" s="8"/>
      <c r="H19" s="6" t="str">
        <f aca="false">IF(A19="","",YEAR(A19))</f>
        <v/>
      </c>
      <c r="I19" s="6" t="str">
        <f aca="false">IF(A19="","",MONTH(A19))</f>
        <v/>
      </c>
    </row>
    <row r="20" customFormat="false" ht="15" hidden="false" customHeight="false" outlineLevel="0" collapsed="false">
      <c r="A20" s="7"/>
      <c r="B20" s="8"/>
      <c r="C20" s="8"/>
      <c r="D20" s="8"/>
      <c r="E20" s="11"/>
      <c r="F20" s="8"/>
      <c r="G20" s="8"/>
      <c r="H20" s="6" t="str">
        <f aca="false">IF(A20="","",YEAR(A20))</f>
        <v/>
      </c>
      <c r="I20" s="6" t="str">
        <f aca="false">IF(A20="","",MONTH(A20))</f>
        <v/>
      </c>
    </row>
    <row r="21" customFormat="false" ht="15" hidden="false" customHeight="false" outlineLevel="0" collapsed="false">
      <c r="A21" s="7"/>
      <c r="B21" s="8"/>
      <c r="C21" s="8"/>
      <c r="D21" s="8"/>
      <c r="E21" s="11"/>
      <c r="F21" s="8"/>
      <c r="G21" s="8"/>
      <c r="H21" s="6" t="str">
        <f aca="false">IF(A21="","",YEAR(A21))</f>
        <v/>
      </c>
      <c r="I21" s="6" t="str">
        <f aca="false">IF(A21="","",MONTH(A21))</f>
        <v/>
      </c>
    </row>
    <row r="22" customFormat="false" ht="15" hidden="false" customHeight="false" outlineLevel="0" collapsed="false">
      <c r="A22" s="7"/>
      <c r="B22" s="8"/>
      <c r="C22" s="8"/>
      <c r="D22" s="8"/>
      <c r="E22" s="11"/>
      <c r="F22" s="8"/>
      <c r="G22" s="8"/>
      <c r="H22" s="6" t="str">
        <f aca="false">IF(A22="","",YEAR(A22))</f>
        <v/>
      </c>
      <c r="I22" s="6" t="str">
        <f aca="false">IF(A22="","",MONTH(A22))</f>
        <v/>
      </c>
    </row>
    <row r="23" customFormat="false" ht="15" hidden="false" customHeight="false" outlineLevel="0" collapsed="false">
      <c r="A23" s="7"/>
      <c r="B23" s="8"/>
      <c r="C23" s="8"/>
      <c r="D23" s="8"/>
      <c r="E23" s="11"/>
      <c r="F23" s="8"/>
      <c r="G23" s="8"/>
      <c r="H23" s="6" t="str">
        <f aca="false">IF(A23="","",YEAR(A23))</f>
        <v/>
      </c>
      <c r="I23" s="6" t="str">
        <f aca="false">IF(A23="","",MONTH(A23))</f>
        <v/>
      </c>
    </row>
    <row r="24" customFormat="false" ht="15" hidden="false" customHeight="false" outlineLevel="0" collapsed="false">
      <c r="A24" s="7"/>
      <c r="B24" s="8"/>
      <c r="C24" s="8"/>
      <c r="D24" s="8"/>
      <c r="E24" s="11"/>
      <c r="F24" s="8"/>
      <c r="G24" s="8"/>
      <c r="H24" s="6" t="str">
        <f aca="false">IF(A24="","",YEAR(A24))</f>
        <v/>
      </c>
      <c r="I24" s="6" t="str">
        <f aca="false">IF(A24="","",MONTH(A24))</f>
        <v/>
      </c>
    </row>
    <row r="25" customFormat="false" ht="15" hidden="false" customHeight="false" outlineLevel="0" collapsed="false">
      <c r="A25" s="7"/>
      <c r="B25" s="8"/>
      <c r="C25" s="8"/>
      <c r="D25" s="8"/>
      <c r="E25" s="11"/>
      <c r="F25" s="8"/>
      <c r="G25" s="8"/>
      <c r="H25" s="6" t="str">
        <f aca="false">IF(A25="","",YEAR(A25))</f>
        <v/>
      </c>
      <c r="I25" s="6" t="str">
        <f aca="false">IF(A25="","",MONTH(A25))</f>
        <v/>
      </c>
    </row>
    <row r="26" customFormat="false" ht="15" hidden="false" customHeight="false" outlineLevel="0" collapsed="false">
      <c r="A26" s="7"/>
      <c r="B26" s="8"/>
      <c r="C26" s="8"/>
      <c r="D26" s="8"/>
      <c r="E26" s="11"/>
      <c r="F26" s="8"/>
      <c r="G26" s="8"/>
      <c r="H26" s="6" t="str">
        <f aca="false">IF(A26="","",YEAR(A26))</f>
        <v/>
      </c>
      <c r="I26" s="6" t="str">
        <f aca="false">IF(A26="","",MONTH(A26))</f>
        <v/>
      </c>
    </row>
    <row r="27" customFormat="false" ht="15" hidden="false" customHeight="false" outlineLevel="0" collapsed="false">
      <c r="A27" s="7"/>
      <c r="B27" s="8"/>
      <c r="C27" s="8"/>
      <c r="D27" s="8"/>
      <c r="E27" s="11"/>
      <c r="F27" s="8"/>
      <c r="G27" s="8"/>
      <c r="H27" s="6" t="str">
        <f aca="false">IF(A27="","",YEAR(A27))</f>
        <v/>
      </c>
      <c r="I27" s="6" t="str">
        <f aca="false">IF(A27="","",MONTH(A27))</f>
        <v/>
      </c>
    </row>
    <row r="28" customFormat="false" ht="15" hidden="false" customHeight="false" outlineLevel="0" collapsed="false">
      <c r="A28" s="7"/>
      <c r="B28" s="8"/>
      <c r="C28" s="8"/>
      <c r="D28" s="8"/>
      <c r="E28" s="11"/>
      <c r="F28" s="8"/>
      <c r="G28" s="8"/>
      <c r="H28" s="6" t="str">
        <f aca="false">IF(A28="","",YEAR(A28))</f>
        <v/>
      </c>
      <c r="I28" s="6" t="str">
        <f aca="false">IF(A28="","",MONTH(A28))</f>
        <v/>
      </c>
    </row>
    <row r="29" customFormat="false" ht="15" hidden="false" customHeight="false" outlineLevel="0" collapsed="false">
      <c r="A29" s="7"/>
      <c r="B29" s="8"/>
      <c r="C29" s="8"/>
      <c r="D29" s="8"/>
      <c r="E29" s="11"/>
      <c r="F29" s="8"/>
      <c r="G29" s="8"/>
      <c r="H29" s="6" t="str">
        <f aca="false">IF(A29="","",YEAR(A29))</f>
        <v/>
      </c>
      <c r="I29" s="6" t="str">
        <f aca="false">IF(A29="","",MONTH(A29))</f>
        <v/>
      </c>
    </row>
    <row r="30" customFormat="false" ht="15" hidden="false" customHeight="false" outlineLevel="0" collapsed="false">
      <c r="A30" s="7"/>
      <c r="B30" s="8"/>
      <c r="C30" s="8"/>
      <c r="D30" s="8"/>
      <c r="E30" s="11"/>
      <c r="F30" s="8"/>
      <c r="G30" s="8"/>
      <c r="H30" s="6" t="str">
        <f aca="false">IF(A30="","",YEAR(A30))</f>
        <v/>
      </c>
      <c r="I30" s="6" t="str">
        <f aca="false">IF(A30="","",MONTH(A30))</f>
        <v/>
      </c>
    </row>
    <row r="31" customFormat="false" ht="15" hidden="false" customHeight="false" outlineLevel="0" collapsed="false">
      <c r="A31" s="7"/>
      <c r="B31" s="8"/>
      <c r="C31" s="8"/>
      <c r="D31" s="8"/>
      <c r="E31" s="11"/>
      <c r="F31" s="8"/>
      <c r="G31" s="8"/>
      <c r="H31" s="6" t="str">
        <f aca="false">IF(A31="","",YEAR(A31))</f>
        <v/>
      </c>
      <c r="I31" s="6" t="str">
        <f aca="false">IF(A31="","",MONTH(A31))</f>
        <v/>
      </c>
    </row>
    <row r="32" customFormat="false" ht="15" hidden="false" customHeight="false" outlineLevel="0" collapsed="false">
      <c r="A32" s="7"/>
      <c r="B32" s="8"/>
      <c r="C32" s="8"/>
      <c r="D32" s="8"/>
      <c r="E32" s="11"/>
      <c r="F32" s="8"/>
      <c r="G32" s="8"/>
      <c r="H32" s="6" t="str">
        <f aca="false">IF(A32="","",YEAR(A32))</f>
        <v/>
      </c>
      <c r="I32" s="6" t="str">
        <f aca="false">IF(A32="","",MONTH(A32))</f>
        <v/>
      </c>
    </row>
    <row r="33" customFormat="false" ht="15" hidden="false" customHeight="false" outlineLevel="0" collapsed="false">
      <c r="A33" s="7"/>
      <c r="B33" s="8"/>
      <c r="C33" s="8"/>
      <c r="D33" s="8"/>
      <c r="E33" s="11"/>
      <c r="F33" s="8"/>
      <c r="G33" s="8"/>
      <c r="H33" s="6" t="str">
        <f aca="false">IF(A33="","",YEAR(A33))</f>
        <v/>
      </c>
      <c r="I33" s="6" t="str">
        <f aca="false">IF(A33="","",MONTH(A33))</f>
        <v/>
      </c>
    </row>
    <row r="34" customFormat="false" ht="15" hidden="false" customHeight="false" outlineLevel="0" collapsed="false">
      <c r="A34" s="7"/>
      <c r="B34" s="8"/>
      <c r="C34" s="8"/>
      <c r="D34" s="8"/>
      <c r="E34" s="11"/>
      <c r="F34" s="8"/>
      <c r="G34" s="8"/>
      <c r="H34" s="6" t="str">
        <f aca="false">IF(A34="","",YEAR(A34))</f>
        <v/>
      </c>
      <c r="I34" s="6" t="str">
        <f aca="false">IF(A34="","",MONTH(A34))</f>
        <v/>
      </c>
    </row>
    <row r="35" customFormat="false" ht="15" hidden="false" customHeight="false" outlineLevel="0" collapsed="false">
      <c r="A35" s="7"/>
      <c r="B35" s="8"/>
      <c r="C35" s="8"/>
      <c r="D35" s="8"/>
      <c r="E35" s="11"/>
      <c r="F35" s="8"/>
      <c r="G35" s="8"/>
      <c r="H35" s="6" t="str">
        <f aca="false">IF(A35="","",YEAR(A35))</f>
        <v/>
      </c>
      <c r="I35" s="6" t="str">
        <f aca="false">IF(A35="","",MONTH(A35))</f>
        <v/>
      </c>
    </row>
    <row r="36" customFormat="false" ht="15" hidden="false" customHeight="false" outlineLevel="0" collapsed="false">
      <c r="A36" s="7"/>
      <c r="B36" s="8"/>
      <c r="C36" s="8"/>
      <c r="D36" s="8"/>
      <c r="E36" s="11"/>
      <c r="F36" s="8"/>
      <c r="G36" s="8"/>
      <c r="H36" s="6" t="str">
        <f aca="false">IF(A36="","",YEAR(A36))</f>
        <v/>
      </c>
      <c r="I36" s="6" t="str">
        <f aca="false">IF(A36="","",MONTH(A36))</f>
        <v/>
      </c>
    </row>
    <row r="37" customFormat="false" ht="15" hidden="false" customHeight="false" outlineLevel="0" collapsed="false">
      <c r="A37" s="7"/>
      <c r="B37" s="8"/>
      <c r="C37" s="8"/>
      <c r="D37" s="8"/>
      <c r="E37" s="11"/>
      <c r="F37" s="8"/>
      <c r="G37" s="8"/>
      <c r="H37" s="6" t="str">
        <f aca="false">IF(A37="","",YEAR(A37))</f>
        <v/>
      </c>
      <c r="I37" s="6" t="str">
        <f aca="false">IF(A37="","",MONTH(A37))</f>
        <v/>
      </c>
    </row>
    <row r="38" customFormat="false" ht="15" hidden="false" customHeight="false" outlineLevel="0" collapsed="false">
      <c r="A38" s="7"/>
      <c r="B38" s="8"/>
      <c r="C38" s="8"/>
      <c r="D38" s="8"/>
      <c r="E38" s="11"/>
      <c r="F38" s="8"/>
      <c r="G38" s="8"/>
      <c r="H38" s="6" t="str">
        <f aca="false">IF(A38="","",YEAR(A38))</f>
        <v/>
      </c>
      <c r="I38" s="6" t="str">
        <f aca="false">IF(A38="","",MONTH(A38))</f>
        <v/>
      </c>
    </row>
    <row r="39" customFormat="false" ht="15" hidden="false" customHeight="false" outlineLevel="0" collapsed="false">
      <c r="A39" s="7"/>
      <c r="B39" s="8"/>
      <c r="C39" s="8"/>
      <c r="D39" s="8"/>
      <c r="E39" s="11"/>
      <c r="F39" s="8"/>
      <c r="G39" s="8"/>
      <c r="H39" s="6" t="str">
        <f aca="false">IF(A39="","",YEAR(A39))</f>
        <v/>
      </c>
      <c r="I39" s="6" t="str">
        <f aca="false">IF(A39="","",MONTH(A39))</f>
        <v/>
      </c>
    </row>
    <row r="40" customFormat="false" ht="15" hidden="false" customHeight="false" outlineLevel="0" collapsed="false">
      <c r="A40" s="7"/>
      <c r="B40" s="8"/>
      <c r="C40" s="8"/>
      <c r="D40" s="8"/>
      <c r="E40" s="11"/>
      <c r="F40" s="8"/>
      <c r="G40" s="8"/>
      <c r="H40" s="6" t="str">
        <f aca="false">IF(A40="","",YEAR(A40))</f>
        <v/>
      </c>
      <c r="I40" s="6" t="str">
        <f aca="false">IF(A40="","",MONTH(A40))</f>
        <v/>
      </c>
    </row>
    <row r="41" customFormat="false" ht="15" hidden="false" customHeight="false" outlineLevel="0" collapsed="false">
      <c r="A41" s="7"/>
      <c r="B41" s="8"/>
      <c r="C41" s="8"/>
      <c r="D41" s="8"/>
      <c r="E41" s="11"/>
      <c r="F41" s="8"/>
      <c r="G41" s="8"/>
      <c r="H41" s="6" t="str">
        <f aca="false">IF(A41="","",YEAR(A41))</f>
        <v/>
      </c>
      <c r="I41" s="6" t="str">
        <f aca="false">IF(A41="","",MONTH(A41))</f>
        <v/>
      </c>
    </row>
    <row r="42" customFormat="false" ht="15" hidden="false" customHeight="false" outlineLevel="0" collapsed="false">
      <c r="A42" s="7"/>
      <c r="B42" s="8"/>
      <c r="C42" s="8"/>
      <c r="D42" s="8"/>
      <c r="E42" s="11"/>
      <c r="F42" s="8"/>
      <c r="G42" s="8"/>
      <c r="H42" s="6" t="str">
        <f aca="false">IF(A42="","",YEAR(A42))</f>
        <v/>
      </c>
      <c r="I42" s="6" t="str">
        <f aca="false">IF(A42="","",MONTH(A42))</f>
        <v/>
      </c>
    </row>
    <row r="43" customFormat="false" ht="15" hidden="false" customHeight="false" outlineLevel="0" collapsed="false">
      <c r="A43" s="7"/>
      <c r="B43" s="8"/>
      <c r="C43" s="8"/>
      <c r="D43" s="8"/>
      <c r="E43" s="11"/>
      <c r="F43" s="8"/>
      <c r="G43" s="8"/>
      <c r="H43" s="6" t="str">
        <f aca="false">IF(A43="","",YEAR(A43))</f>
        <v/>
      </c>
      <c r="I43" s="6" t="str">
        <f aca="false">IF(A43="","",MONTH(A43))</f>
        <v/>
      </c>
    </row>
    <row r="44" customFormat="false" ht="15" hidden="false" customHeight="false" outlineLevel="0" collapsed="false">
      <c r="A44" s="7"/>
      <c r="B44" s="8"/>
      <c r="C44" s="8"/>
      <c r="D44" s="8"/>
      <c r="E44" s="11"/>
      <c r="F44" s="8"/>
      <c r="G44" s="8"/>
      <c r="H44" s="6" t="str">
        <f aca="false">IF(A44="","",YEAR(A44))</f>
        <v/>
      </c>
      <c r="I44" s="6" t="str">
        <f aca="false">IF(A44="","",MONTH(A44))</f>
        <v/>
      </c>
    </row>
    <row r="45" customFormat="false" ht="15" hidden="false" customHeight="false" outlineLevel="0" collapsed="false">
      <c r="A45" s="7"/>
      <c r="B45" s="8"/>
      <c r="C45" s="8"/>
      <c r="D45" s="8"/>
      <c r="E45" s="11"/>
      <c r="F45" s="8"/>
      <c r="G45" s="8"/>
      <c r="H45" s="6" t="str">
        <f aca="false">IF(A45="","",YEAR(A45))</f>
        <v/>
      </c>
      <c r="I45" s="6" t="str">
        <f aca="false">IF(A45="","",MONTH(A45))</f>
        <v/>
      </c>
    </row>
    <row r="46" customFormat="false" ht="15" hidden="false" customHeight="false" outlineLevel="0" collapsed="false">
      <c r="A46" s="7"/>
      <c r="B46" s="8"/>
      <c r="C46" s="8"/>
      <c r="D46" s="8"/>
      <c r="E46" s="11"/>
      <c r="F46" s="8"/>
      <c r="G46" s="8"/>
      <c r="H46" s="6" t="str">
        <f aca="false">IF(A46="","",YEAR(A46))</f>
        <v/>
      </c>
      <c r="I46" s="6" t="str">
        <f aca="false">IF(A46="","",MONTH(A46))</f>
        <v/>
      </c>
    </row>
    <row r="47" customFormat="false" ht="15" hidden="false" customHeight="false" outlineLevel="0" collapsed="false">
      <c r="A47" s="7"/>
      <c r="B47" s="8"/>
      <c r="C47" s="8"/>
      <c r="D47" s="8"/>
      <c r="E47" s="11"/>
      <c r="F47" s="8"/>
      <c r="G47" s="8"/>
      <c r="H47" s="6" t="str">
        <f aca="false">IF(A47="","",YEAR(A47))</f>
        <v/>
      </c>
      <c r="I47" s="6" t="str">
        <f aca="false">IF(A47="","",MONTH(A47))</f>
        <v/>
      </c>
    </row>
    <row r="48" customFormat="false" ht="15" hidden="false" customHeight="false" outlineLevel="0" collapsed="false">
      <c r="A48" s="7"/>
      <c r="B48" s="8"/>
      <c r="C48" s="8"/>
      <c r="D48" s="8"/>
      <c r="E48" s="11"/>
      <c r="F48" s="8"/>
      <c r="G48" s="8"/>
      <c r="H48" s="6" t="str">
        <f aca="false">IF(A48="","",YEAR(A48))</f>
        <v/>
      </c>
      <c r="I48" s="6" t="str">
        <f aca="false">IF(A48="","",MONTH(A48))</f>
        <v/>
      </c>
    </row>
    <row r="49" customFormat="false" ht="15" hidden="false" customHeight="false" outlineLevel="0" collapsed="false">
      <c r="A49" s="7"/>
      <c r="B49" s="8"/>
      <c r="C49" s="8"/>
      <c r="D49" s="8"/>
      <c r="E49" s="11"/>
      <c r="F49" s="8"/>
      <c r="G49" s="8"/>
      <c r="H49" s="6" t="str">
        <f aca="false">IF(A49="","",YEAR(A49))</f>
        <v/>
      </c>
      <c r="I49" s="6" t="str">
        <f aca="false">IF(A49="","",MONTH(A49))</f>
        <v/>
      </c>
    </row>
    <row r="50" customFormat="false" ht="15" hidden="false" customHeight="false" outlineLevel="0" collapsed="false">
      <c r="A50" s="7"/>
      <c r="B50" s="8"/>
      <c r="C50" s="8"/>
      <c r="D50" s="8"/>
      <c r="E50" s="11"/>
      <c r="F50" s="8"/>
      <c r="G50" s="8"/>
      <c r="H50" s="6" t="str">
        <f aca="false">IF(A50="","",YEAR(A50))</f>
        <v/>
      </c>
      <c r="I50" s="6" t="str">
        <f aca="false">IF(A50="","",MONTH(A50))</f>
        <v/>
      </c>
    </row>
    <row r="51" customFormat="false" ht="15" hidden="false" customHeight="false" outlineLevel="0" collapsed="false">
      <c r="A51" s="7"/>
      <c r="B51" s="8"/>
      <c r="C51" s="8"/>
      <c r="D51" s="8"/>
      <c r="E51" s="11"/>
      <c r="F51" s="8"/>
      <c r="G51" s="8"/>
      <c r="H51" s="6" t="str">
        <f aca="false">IF(A51="","",YEAR(A51))</f>
        <v/>
      </c>
      <c r="I51" s="6" t="str">
        <f aca="false">IF(A51="","",MONTH(A51))</f>
        <v/>
      </c>
    </row>
    <row r="52" customFormat="false" ht="15" hidden="false" customHeight="false" outlineLevel="0" collapsed="false">
      <c r="A52" s="7"/>
      <c r="B52" s="8"/>
      <c r="C52" s="8"/>
      <c r="D52" s="8"/>
      <c r="E52" s="11"/>
      <c r="F52" s="8"/>
      <c r="G52" s="8"/>
      <c r="H52" s="6" t="str">
        <f aca="false">IF(A52="","",YEAR(A52))</f>
        <v/>
      </c>
      <c r="I52" s="6" t="str">
        <f aca="false">IF(A52="","",MONTH(A52))</f>
        <v/>
      </c>
    </row>
    <row r="53" customFormat="false" ht="15" hidden="false" customHeight="false" outlineLevel="0" collapsed="false">
      <c r="A53" s="7"/>
      <c r="B53" s="8"/>
      <c r="C53" s="8"/>
      <c r="D53" s="8"/>
      <c r="E53" s="11"/>
      <c r="F53" s="8"/>
      <c r="G53" s="8"/>
      <c r="H53" s="6" t="str">
        <f aca="false">IF(A53="","",YEAR(A53))</f>
        <v/>
      </c>
      <c r="I53" s="6" t="str">
        <f aca="false">IF(A53="","",MONTH(A53))</f>
        <v/>
      </c>
    </row>
    <row r="54" customFormat="false" ht="15" hidden="false" customHeight="false" outlineLevel="0" collapsed="false">
      <c r="A54" s="7"/>
      <c r="B54" s="8"/>
      <c r="C54" s="8"/>
      <c r="D54" s="8"/>
      <c r="E54" s="11"/>
      <c r="F54" s="8"/>
      <c r="G54" s="8"/>
      <c r="H54" s="6" t="str">
        <f aca="false">IF(A54="","",YEAR(A54))</f>
        <v/>
      </c>
      <c r="I54" s="6" t="str">
        <f aca="false">IF(A54="","",MONTH(A54))</f>
        <v/>
      </c>
    </row>
    <row r="55" customFormat="false" ht="15" hidden="false" customHeight="false" outlineLevel="0" collapsed="false">
      <c r="A55" s="7"/>
      <c r="B55" s="8"/>
      <c r="C55" s="8"/>
      <c r="D55" s="8"/>
      <c r="E55" s="11"/>
      <c r="F55" s="8"/>
      <c r="G55" s="8"/>
      <c r="H55" s="6" t="str">
        <f aca="false">IF(A55="","",YEAR(A55))</f>
        <v/>
      </c>
      <c r="I55" s="6" t="str">
        <f aca="false">IF(A55="","",MONTH(A55))</f>
        <v/>
      </c>
    </row>
    <row r="56" customFormat="false" ht="15" hidden="false" customHeight="false" outlineLevel="0" collapsed="false">
      <c r="A56" s="7"/>
      <c r="B56" s="8"/>
      <c r="C56" s="8"/>
      <c r="D56" s="8"/>
      <c r="E56" s="11"/>
      <c r="F56" s="8"/>
      <c r="G56" s="8"/>
      <c r="H56" s="6" t="str">
        <f aca="false">IF(A56="","",YEAR(A56))</f>
        <v/>
      </c>
      <c r="I56" s="6" t="str">
        <f aca="false">IF(A56="","",MONTH(A56))</f>
        <v/>
      </c>
    </row>
    <row r="57" customFormat="false" ht="15" hidden="false" customHeight="false" outlineLevel="0" collapsed="false">
      <c r="A57" s="7"/>
      <c r="B57" s="8"/>
      <c r="C57" s="8"/>
      <c r="D57" s="8"/>
      <c r="E57" s="11"/>
      <c r="F57" s="8"/>
      <c r="G57" s="8"/>
      <c r="H57" s="6" t="str">
        <f aca="false">IF(A57="","",YEAR(A57))</f>
        <v/>
      </c>
      <c r="I57" s="6" t="str">
        <f aca="false">IF(A57="","",MONTH(A57))</f>
        <v/>
      </c>
    </row>
    <row r="58" customFormat="false" ht="15" hidden="false" customHeight="false" outlineLevel="0" collapsed="false">
      <c r="A58" s="7"/>
      <c r="B58" s="8"/>
      <c r="C58" s="8"/>
      <c r="D58" s="8"/>
      <c r="E58" s="11"/>
      <c r="F58" s="8"/>
      <c r="G58" s="8"/>
      <c r="H58" s="6" t="str">
        <f aca="false">IF(A58="","",YEAR(A58))</f>
        <v/>
      </c>
      <c r="I58" s="6" t="str">
        <f aca="false">IF(A58="","",MONTH(A58))</f>
        <v/>
      </c>
    </row>
    <row r="59" customFormat="false" ht="15" hidden="false" customHeight="false" outlineLevel="0" collapsed="false">
      <c r="A59" s="7"/>
      <c r="B59" s="8"/>
      <c r="C59" s="8"/>
      <c r="D59" s="8"/>
      <c r="E59" s="11"/>
      <c r="F59" s="8"/>
      <c r="G59" s="8"/>
      <c r="H59" s="6" t="str">
        <f aca="false">IF(A59="","",YEAR(A59))</f>
        <v/>
      </c>
      <c r="I59" s="6" t="str">
        <f aca="false">IF(A59="","",MONTH(A59))</f>
        <v/>
      </c>
    </row>
    <row r="60" customFormat="false" ht="15" hidden="false" customHeight="false" outlineLevel="0" collapsed="false">
      <c r="A60" s="7"/>
      <c r="B60" s="8"/>
      <c r="C60" s="8"/>
      <c r="D60" s="8"/>
      <c r="E60" s="11"/>
      <c r="F60" s="8"/>
      <c r="G60" s="8"/>
      <c r="H60" s="6" t="str">
        <f aca="false">IF(A60="","",YEAR(A60))</f>
        <v/>
      </c>
      <c r="I60" s="6" t="str">
        <f aca="false">IF(A60="","",MONTH(A60))</f>
        <v/>
      </c>
    </row>
    <row r="61" customFormat="false" ht="15" hidden="false" customHeight="false" outlineLevel="0" collapsed="false">
      <c r="A61" s="7"/>
      <c r="B61" s="8"/>
      <c r="C61" s="8"/>
      <c r="D61" s="8"/>
      <c r="E61" s="11"/>
      <c r="F61" s="8"/>
      <c r="G61" s="8"/>
      <c r="H61" s="6" t="str">
        <f aca="false">IF(A61="","",YEAR(A61))</f>
        <v/>
      </c>
      <c r="I61" s="6" t="str">
        <f aca="false">IF(A61="","",MONTH(A61))</f>
        <v/>
      </c>
    </row>
    <row r="62" customFormat="false" ht="15" hidden="false" customHeight="false" outlineLevel="0" collapsed="false">
      <c r="A62" s="7"/>
      <c r="B62" s="8"/>
      <c r="C62" s="8"/>
      <c r="D62" s="8"/>
      <c r="E62" s="11"/>
      <c r="F62" s="8"/>
      <c r="G62" s="8"/>
      <c r="H62" s="6" t="str">
        <f aca="false">IF(A62="","",YEAR(A62))</f>
        <v/>
      </c>
      <c r="I62" s="6" t="str">
        <f aca="false">IF(A62="","",MONTH(A62))</f>
        <v/>
      </c>
    </row>
    <row r="63" customFormat="false" ht="15" hidden="false" customHeight="false" outlineLevel="0" collapsed="false">
      <c r="A63" s="7"/>
      <c r="B63" s="8"/>
      <c r="C63" s="8"/>
      <c r="D63" s="8"/>
      <c r="E63" s="11"/>
      <c r="F63" s="8"/>
      <c r="G63" s="8"/>
      <c r="H63" s="6" t="str">
        <f aca="false">IF(A63="","",YEAR(A63))</f>
        <v/>
      </c>
      <c r="I63" s="6" t="str">
        <f aca="false">IF(A63="","",MONTH(A63))</f>
        <v/>
      </c>
    </row>
    <row r="64" customFormat="false" ht="15" hidden="false" customHeight="false" outlineLevel="0" collapsed="false">
      <c r="A64" s="7"/>
      <c r="B64" s="8"/>
      <c r="C64" s="8"/>
      <c r="D64" s="8"/>
      <c r="E64" s="11"/>
      <c r="F64" s="8"/>
      <c r="G64" s="8"/>
      <c r="H64" s="6" t="str">
        <f aca="false">IF(A64="","",YEAR(A64))</f>
        <v/>
      </c>
      <c r="I64" s="6" t="str">
        <f aca="false">IF(A64="","",MONTH(A64))</f>
        <v/>
      </c>
    </row>
    <row r="65" customFormat="false" ht="15" hidden="false" customHeight="false" outlineLevel="0" collapsed="false">
      <c r="A65" s="7"/>
      <c r="B65" s="8"/>
      <c r="C65" s="8"/>
      <c r="D65" s="8"/>
      <c r="E65" s="11"/>
      <c r="F65" s="8"/>
      <c r="G65" s="8"/>
      <c r="H65" s="6" t="str">
        <f aca="false">IF(A65="","",YEAR(A65))</f>
        <v/>
      </c>
      <c r="I65" s="6" t="str">
        <f aca="false">IF(A65="","",MONTH(A65))</f>
        <v/>
      </c>
    </row>
    <row r="66" customFormat="false" ht="15" hidden="false" customHeight="false" outlineLevel="0" collapsed="false">
      <c r="A66" s="7"/>
      <c r="B66" s="8"/>
      <c r="C66" s="8"/>
      <c r="D66" s="8"/>
      <c r="E66" s="11"/>
      <c r="F66" s="8"/>
      <c r="G66" s="8"/>
      <c r="H66" s="6" t="str">
        <f aca="false">IF(A66="","",YEAR(A66))</f>
        <v/>
      </c>
      <c r="I66" s="6" t="str">
        <f aca="false">IF(A66="","",MONTH(A66))</f>
        <v/>
      </c>
    </row>
    <row r="67" customFormat="false" ht="15" hidden="false" customHeight="false" outlineLevel="0" collapsed="false">
      <c r="A67" s="7"/>
      <c r="B67" s="8"/>
      <c r="C67" s="8"/>
      <c r="D67" s="8"/>
      <c r="E67" s="11"/>
      <c r="F67" s="8"/>
      <c r="G67" s="8"/>
      <c r="H67" s="6" t="str">
        <f aca="false">IF(A67="","",YEAR(A67))</f>
        <v/>
      </c>
      <c r="I67" s="6" t="str">
        <f aca="false">IF(A67="","",MONTH(A67))</f>
        <v/>
      </c>
    </row>
    <row r="68" customFormat="false" ht="15" hidden="false" customHeight="false" outlineLevel="0" collapsed="false">
      <c r="A68" s="7"/>
      <c r="B68" s="8"/>
      <c r="C68" s="8"/>
      <c r="D68" s="8"/>
      <c r="E68" s="11"/>
      <c r="F68" s="8"/>
      <c r="G68" s="8"/>
      <c r="H68" s="6" t="str">
        <f aca="false">IF(A68="","",YEAR(A68))</f>
        <v/>
      </c>
      <c r="I68" s="6" t="str">
        <f aca="false">IF(A68="","",MONTH(A68))</f>
        <v/>
      </c>
    </row>
    <row r="69" customFormat="false" ht="15" hidden="false" customHeight="false" outlineLevel="0" collapsed="false">
      <c r="A69" s="7"/>
      <c r="B69" s="8"/>
      <c r="C69" s="8"/>
      <c r="D69" s="8"/>
      <c r="E69" s="11"/>
      <c r="F69" s="8"/>
      <c r="G69" s="8"/>
      <c r="H69" s="6" t="str">
        <f aca="false">IF(A69="","",YEAR(A69))</f>
        <v/>
      </c>
      <c r="I69" s="6" t="str">
        <f aca="false">IF(A69="","",MONTH(A69))</f>
        <v/>
      </c>
    </row>
    <row r="70" customFormat="false" ht="15" hidden="false" customHeight="false" outlineLevel="0" collapsed="false">
      <c r="A70" s="7"/>
      <c r="B70" s="8"/>
      <c r="C70" s="8"/>
      <c r="D70" s="8"/>
      <c r="E70" s="11"/>
      <c r="F70" s="8"/>
      <c r="G70" s="8"/>
      <c r="H70" s="6" t="str">
        <f aca="false">IF(A70="","",YEAR(A70))</f>
        <v/>
      </c>
      <c r="I70" s="6" t="str">
        <f aca="false">IF(A70="","",MONTH(A70))</f>
        <v/>
      </c>
    </row>
    <row r="71" customFormat="false" ht="15" hidden="false" customHeight="false" outlineLevel="0" collapsed="false">
      <c r="A71" s="7"/>
      <c r="B71" s="8"/>
      <c r="C71" s="8"/>
      <c r="D71" s="8"/>
      <c r="E71" s="11"/>
      <c r="F71" s="8"/>
      <c r="G71" s="8"/>
      <c r="H71" s="6" t="str">
        <f aca="false">IF(A71="","",YEAR(A71))</f>
        <v/>
      </c>
      <c r="I71" s="6" t="str">
        <f aca="false">IF(A71="","",MONTH(A71))</f>
        <v/>
      </c>
    </row>
    <row r="72" customFormat="false" ht="15" hidden="false" customHeight="false" outlineLevel="0" collapsed="false">
      <c r="A72" s="7"/>
      <c r="B72" s="8"/>
      <c r="C72" s="8"/>
      <c r="D72" s="8"/>
      <c r="E72" s="11"/>
      <c r="F72" s="8"/>
      <c r="G72" s="8"/>
      <c r="H72" s="6" t="str">
        <f aca="false">IF(A72="","",YEAR(A72))</f>
        <v/>
      </c>
      <c r="I72" s="6" t="str">
        <f aca="false">IF(A72="","",MONTH(A72))</f>
        <v/>
      </c>
    </row>
    <row r="73" customFormat="false" ht="15" hidden="false" customHeight="false" outlineLevel="0" collapsed="false">
      <c r="A73" s="7"/>
      <c r="B73" s="8"/>
      <c r="C73" s="8"/>
      <c r="D73" s="8"/>
      <c r="E73" s="11"/>
      <c r="F73" s="8"/>
      <c r="G73" s="8"/>
      <c r="H73" s="6" t="str">
        <f aca="false">IF(A73="","",YEAR(A73))</f>
        <v/>
      </c>
      <c r="I73" s="6" t="str">
        <f aca="false">IF(A73="","",MONTH(A73))</f>
        <v/>
      </c>
    </row>
    <row r="74" customFormat="false" ht="15" hidden="false" customHeight="false" outlineLevel="0" collapsed="false">
      <c r="A74" s="7"/>
      <c r="B74" s="8"/>
      <c r="C74" s="8"/>
      <c r="D74" s="8"/>
      <c r="E74" s="11"/>
      <c r="F74" s="8"/>
      <c r="G74" s="8"/>
      <c r="H74" s="6" t="str">
        <f aca="false">IF(A74="","",YEAR(A74))</f>
        <v/>
      </c>
      <c r="I74" s="6" t="str">
        <f aca="false">IF(A74="","",MONTH(A74))</f>
        <v/>
      </c>
    </row>
    <row r="75" customFormat="false" ht="15" hidden="false" customHeight="false" outlineLevel="0" collapsed="false">
      <c r="A75" s="7"/>
      <c r="B75" s="8"/>
      <c r="C75" s="8"/>
      <c r="D75" s="8"/>
      <c r="E75" s="11"/>
      <c r="F75" s="8"/>
      <c r="G75" s="8"/>
      <c r="H75" s="6" t="str">
        <f aca="false">IF(A75="","",YEAR(A75))</f>
        <v/>
      </c>
      <c r="I75" s="6" t="str">
        <f aca="false">IF(A75="","",MONTH(A75))</f>
        <v/>
      </c>
    </row>
    <row r="76" customFormat="false" ht="15" hidden="false" customHeight="false" outlineLevel="0" collapsed="false">
      <c r="A76" s="7"/>
      <c r="B76" s="8"/>
      <c r="C76" s="8"/>
      <c r="D76" s="8"/>
      <c r="E76" s="11"/>
      <c r="F76" s="8"/>
      <c r="G76" s="8"/>
      <c r="H76" s="6" t="str">
        <f aca="false">IF(A76="","",YEAR(A76))</f>
        <v/>
      </c>
      <c r="I76" s="6" t="str">
        <f aca="false">IF(A76="","",MONTH(A76))</f>
        <v/>
      </c>
    </row>
    <row r="77" customFormat="false" ht="15" hidden="false" customHeight="false" outlineLevel="0" collapsed="false">
      <c r="A77" s="7"/>
      <c r="B77" s="8"/>
      <c r="C77" s="8"/>
      <c r="D77" s="8"/>
      <c r="E77" s="11"/>
      <c r="F77" s="8"/>
      <c r="G77" s="8"/>
      <c r="H77" s="6" t="str">
        <f aca="false">IF(A77="","",YEAR(A77))</f>
        <v/>
      </c>
      <c r="I77" s="6" t="str">
        <f aca="false">IF(A77="","",MONTH(A77))</f>
        <v/>
      </c>
    </row>
    <row r="78" customFormat="false" ht="15" hidden="false" customHeight="false" outlineLevel="0" collapsed="false">
      <c r="A78" s="7"/>
      <c r="B78" s="8"/>
      <c r="C78" s="8"/>
      <c r="D78" s="8"/>
      <c r="E78" s="11"/>
      <c r="F78" s="8"/>
      <c r="G78" s="8"/>
      <c r="H78" s="6" t="str">
        <f aca="false">IF(A78="","",YEAR(A78))</f>
        <v/>
      </c>
      <c r="I78" s="6" t="str">
        <f aca="false">IF(A78="","",MONTH(A78))</f>
        <v/>
      </c>
    </row>
    <row r="79" customFormat="false" ht="15" hidden="false" customHeight="false" outlineLevel="0" collapsed="false">
      <c r="A79" s="7"/>
      <c r="B79" s="8"/>
      <c r="C79" s="8"/>
      <c r="D79" s="8"/>
      <c r="E79" s="11"/>
      <c r="F79" s="8"/>
      <c r="G79" s="8"/>
      <c r="H79" s="6" t="str">
        <f aca="false">IF(A79="","",YEAR(A79))</f>
        <v/>
      </c>
      <c r="I79" s="6" t="str">
        <f aca="false">IF(A79="","",MONTH(A79))</f>
        <v/>
      </c>
    </row>
    <row r="80" customFormat="false" ht="15" hidden="false" customHeight="false" outlineLevel="0" collapsed="false">
      <c r="A80" s="7"/>
      <c r="B80" s="8"/>
      <c r="C80" s="8"/>
      <c r="D80" s="8"/>
      <c r="E80" s="11"/>
      <c r="F80" s="8"/>
      <c r="G80" s="8"/>
      <c r="H80" s="6" t="str">
        <f aca="false">IF(A80="","",YEAR(A80))</f>
        <v/>
      </c>
      <c r="I80" s="6" t="str">
        <f aca="false">IF(A80="","",MONTH(A80))</f>
        <v/>
      </c>
    </row>
    <row r="81" customFormat="false" ht="15" hidden="false" customHeight="false" outlineLevel="0" collapsed="false">
      <c r="A81" s="7"/>
      <c r="B81" s="8"/>
      <c r="C81" s="8"/>
      <c r="D81" s="8"/>
      <c r="E81" s="11"/>
      <c r="F81" s="8"/>
      <c r="G81" s="8"/>
      <c r="H81" s="6" t="str">
        <f aca="false">IF(A81="","",YEAR(A81))</f>
        <v/>
      </c>
      <c r="I81" s="6" t="str">
        <f aca="false">IF(A81="","",MONTH(A81))</f>
        <v/>
      </c>
    </row>
    <row r="82" customFormat="false" ht="15" hidden="false" customHeight="false" outlineLevel="0" collapsed="false">
      <c r="A82" s="7"/>
      <c r="B82" s="8"/>
      <c r="C82" s="8"/>
      <c r="D82" s="8"/>
      <c r="E82" s="11"/>
      <c r="F82" s="8"/>
      <c r="G82" s="8"/>
      <c r="H82" s="6" t="str">
        <f aca="false">IF(A82="","",YEAR(A82))</f>
        <v/>
      </c>
      <c r="I82" s="6" t="str">
        <f aca="false">IF(A82="","",MONTH(A82))</f>
        <v/>
      </c>
    </row>
    <row r="83" customFormat="false" ht="15" hidden="false" customHeight="false" outlineLevel="0" collapsed="false">
      <c r="A83" s="7"/>
      <c r="B83" s="8"/>
      <c r="C83" s="8"/>
      <c r="D83" s="8"/>
      <c r="E83" s="11"/>
      <c r="F83" s="8"/>
      <c r="G83" s="8"/>
      <c r="H83" s="6" t="str">
        <f aca="false">IF(A83="","",YEAR(A83))</f>
        <v/>
      </c>
      <c r="I83" s="6" t="str">
        <f aca="false">IF(A83="","",MONTH(A83))</f>
        <v/>
      </c>
    </row>
    <row r="84" customFormat="false" ht="15" hidden="false" customHeight="false" outlineLevel="0" collapsed="false">
      <c r="A84" s="7"/>
      <c r="B84" s="8"/>
      <c r="C84" s="8"/>
      <c r="D84" s="8"/>
      <c r="E84" s="11"/>
      <c r="F84" s="8"/>
      <c r="G84" s="8"/>
      <c r="H84" s="6" t="str">
        <f aca="false">IF(A84="","",YEAR(A84))</f>
        <v/>
      </c>
      <c r="I84" s="6" t="str">
        <f aca="false">IF(A84="","",MONTH(A84))</f>
        <v/>
      </c>
    </row>
    <row r="85" customFormat="false" ht="15" hidden="false" customHeight="false" outlineLevel="0" collapsed="false">
      <c r="A85" s="7"/>
      <c r="B85" s="8"/>
      <c r="C85" s="8"/>
      <c r="D85" s="8"/>
      <c r="E85" s="11"/>
      <c r="F85" s="8"/>
      <c r="G85" s="8"/>
      <c r="H85" s="6" t="str">
        <f aca="false">IF(A85="","",YEAR(A85))</f>
        <v/>
      </c>
      <c r="I85" s="6" t="str">
        <f aca="false">IF(A85="","",MONTH(A85))</f>
        <v/>
      </c>
    </row>
    <row r="86" customFormat="false" ht="15" hidden="false" customHeight="false" outlineLevel="0" collapsed="false">
      <c r="A86" s="7"/>
      <c r="B86" s="8"/>
      <c r="C86" s="8"/>
      <c r="D86" s="8"/>
      <c r="E86" s="11"/>
      <c r="F86" s="8"/>
      <c r="G86" s="8"/>
      <c r="H86" s="6" t="str">
        <f aca="false">IF(A86="","",YEAR(A86))</f>
        <v/>
      </c>
      <c r="I86" s="6" t="str">
        <f aca="false">IF(A86="","",MONTH(A86))</f>
        <v/>
      </c>
    </row>
    <row r="87" customFormat="false" ht="15" hidden="false" customHeight="false" outlineLevel="0" collapsed="false">
      <c r="A87" s="7"/>
      <c r="B87" s="8"/>
      <c r="C87" s="8"/>
      <c r="D87" s="8"/>
      <c r="E87" s="11"/>
      <c r="F87" s="8"/>
      <c r="G87" s="8"/>
      <c r="H87" s="6" t="str">
        <f aca="false">IF(A87="","",YEAR(A87))</f>
        <v/>
      </c>
      <c r="I87" s="6" t="str">
        <f aca="false">IF(A87="","",MONTH(A87))</f>
        <v/>
      </c>
    </row>
    <row r="88" customFormat="false" ht="15" hidden="false" customHeight="false" outlineLevel="0" collapsed="false">
      <c r="A88" s="7"/>
      <c r="B88" s="8"/>
      <c r="C88" s="8"/>
      <c r="D88" s="8"/>
      <c r="E88" s="11"/>
      <c r="F88" s="8"/>
      <c r="G88" s="8"/>
      <c r="H88" s="6" t="str">
        <f aca="false">IF(A88="","",YEAR(A88))</f>
        <v/>
      </c>
      <c r="I88" s="6" t="str">
        <f aca="false">IF(A88="","",MONTH(A88))</f>
        <v/>
      </c>
    </row>
    <row r="89" customFormat="false" ht="15" hidden="false" customHeight="false" outlineLevel="0" collapsed="false">
      <c r="A89" s="7"/>
      <c r="B89" s="8"/>
      <c r="C89" s="8"/>
      <c r="D89" s="8"/>
      <c r="E89" s="11"/>
      <c r="F89" s="8"/>
      <c r="G89" s="8"/>
      <c r="H89" s="6" t="str">
        <f aca="false">IF(A89="","",YEAR(A89))</f>
        <v/>
      </c>
      <c r="I89" s="6" t="str">
        <f aca="false">IF(A89="","",MONTH(A89))</f>
        <v/>
      </c>
    </row>
    <row r="90" customFormat="false" ht="15" hidden="false" customHeight="false" outlineLevel="0" collapsed="false">
      <c r="A90" s="7"/>
      <c r="B90" s="8"/>
      <c r="C90" s="8"/>
      <c r="D90" s="8"/>
      <c r="E90" s="11"/>
      <c r="F90" s="8"/>
      <c r="G90" s="8"/>
      <c r="H90" s="6" t="str">
        <f aca="false">IF(A90="","",YEAR(A90))</f>
        <v/>
      </c>
      <c r="I90" s="6" t="str">
        <f aca="false">IF(A90="","",MONTH(A90))</f>
        <v/>
      </c>
    </row>
    <row r="91" customFormat="false" ht="15" hidden="false" customHeight="false" outlineLevel="0" collapsed="false">
      <c r="A91" s="7"/>
      <c r="B91" s="8"/>
      <c r="C91" s="8"/>
      <c r="D91" s="8"/>
      <c r="E91" s="11"/>
      <c r="F91" s="8"/>
      <c r="G91" s="8"/>
      <c r="H91" s="6" t="str">
        <f aca="false">IF(A91="","",YEAR(A91))</f>
        <v/>
      </c>
      <c r="I91" s="6" t="str">
        <f aca="false">IF(A91="","",MONTH(A91))</f>
        <v/>
      </c>
    </row>
    <row r="92" customFormat="false" ht="15" hidden="false" customHeight="false" outlineLevel="0" collapsed="false">
      <c r="A92" s="7"/>
      <c r="B92" s="8"/>
      <c r="C92" s="8"/>
      <c r="D92" s="8"/>
      <c r="E92" s="11"/>
      <c r="F92" s="8"/>
      <c r="G92" s="8"/>
      <c r="H92" s="6" t="str">
        <f aca="false">IF(A92="","",YEAR(A92))</f>
        <v/>
      </c>
      <c r="I92" s="6" t="str">
        <f aca="false">IF(A92="","",MONTH(A92))</f>
        <v/>
      </c>
    </row>
    <row r="93" customFormat="false" ht="15" hidden="false" customHeight="false" outlineLevel="0" collapsed="false">
      <c r="A93" s="7"/>
      <c r="B93" s="8"/>
      <c r="C93" s="8"/>
      <c r="D93" s="8"/>
      <c r="E93" s="11"/>
      <c r="F93" s="8"/>
      <c r="G93" s="8"/>
      <c r="H93" s="6" t="str">
        <f aca="false">IF(A93="","",YEAR(A93))</f>
        <v/>
      </c>
      <c r="I93" s="6" t="str">
        <f aca="false">IF(A93="","",MONTH(A93))</f>
        <v/>
      </c>
    </row>
    <row r="94" customFormat="false" ht="15" hidden="false" customHeight="false" outlineLevel="0" collapsed="false">
      <c r="A94" s="7"/>
      <c r="B94" s="8"/>
      <c r="C94" s="8"/>
      <c r="D94" s="8"/>
      <c r="E94" s="11"/>
      <c r="F94" s="8"/>
      <c r="G94" s="8"/>
      <c r="H94" s="6" t="str">
        <f aca="false">IF(A94="","",YEAR(A94))</f>
        <v/>
      </c>
      <c r="I94" s="6" t="str">
        <f aca="false">IF(A94="","",MONTH(A94))</f>
        <v/>
      </c>
    </row>
    <row r="95" customFormat="false" ht="15" hidden="false" customHeight="false" outlineLevel="0" collapsed="false">
      <c r="A95" s="7"/>
      <c r="B95" s="8"/>
      <c r="C95" s="8"/>
      <c r="D95" s="8"/>
      <c r="E95" s="11"/>
      <c r="F95" s="8"/>
      <c r="G95" s="8"/>
      <c r="H95" s="6" t="str">
        <f aca="false">IF(A95="","",YEAR(A95))</f>
        <v/>
      </c>
      <c r="I95" s="6" t="str">
        <f aca="false">IF(A95="","",MONTH(A95))</f>
        <v/>
      </c>
    </row>
    <row r="96" customFormat="false" ht="15" hidden="false" customHeight="false" outlineLevel="0" collapsed="false">
      <c r="A96" s="7"/>
      <c r="B96" s="8"/>
      <c r="C96" s="8"/>
      <c r="D96" s="8"/>
      <c r="E96" s="11"/>
      <c r="F96" s="8"/>
      <c r="G96" s="8"/>
      <c r="H96" s="6" t="str">
        <f aca="false">IF(A96="","",YEAR(A96))</f>
        <v/>
      </c>
      <c r="I96" s="6" t="str">
        <f aca="false">IF(A96="","",MONTH(A96))</f>
        <v/>
      </c>
    </row>
    <row r="97" customFormat="false" ht="15" hidden="false" customHeight="false" outlineLevel="0" collapsed="false">
      <c r="A97" s="7"/>
      <c r="B97" s="8"/>
      <c r="C97" s="8"/>
      <c r="D97" s="8"/>
      <c r="E97" s="11"/>
      <c r="F97" s="8"/>
      <c r="G97" s="8"/>
      <c r="H97" s="6" t="str">
        <f aca="false">IF(A97="","",YEAR(A97))</f>
        <v/>
      </c>
      <c r="I97" s="6" t="str">
        <f aca="false">IF(A97="","",MONTH(A97))</f>
        <v/>
      </c>
    </row>
    <row r="98" customFormat="false" ht="15" hidden="false" customHeight="false" outlineLevel="0" collapsed="false">
      <c r="A98" s="7"/>
      <c r="B98" s="8"/>
      <c r="C98" s="8"/>
      <c r="D98" s="8"/>
      <c r="E98" s="11"/>
      <c r="F98" s="8"/>
      <c r="G98" s="8"/>
      <c r="H98" s="6" t="str">
        <f aca="false">IF(A98="","",YEAR(A98))</f>
        <v/>
      </c>
      <c r="I98" s="6" t="str">
        <f aca="false">IF(A98="","",MONTH(A98))</f>
        <v/>
      </c>
    </row>
    <row r="99" customFormat="false" ht="15" hidden="false" customHeight="false" outlineLevel="0" collapsed="false">
      <c r="A99" s="7"/>
      <c r="B99" s="8"/>
      <c r="C99" s="8"/>
      <c r="D99" s="8"/>
      <c r="E99" s="11"/>
      <c r="F99" s="8"/>
      <c r="G99" s="8"/>
      <c r="H99" s="6" t="str">
        <f aca="false">IF(A99="","",YEAR(A99))</f>
        <v/>
      </c>
      <c r="I99" s="6" t="str">
        <f aca="false">IF(A99="","",MONTH(A99))</f>
        <v/>
      </c>
    </row>
    <row r="100" customFormat="false" ht="15" hidden="false" customHeight="false" outlineLevel="0" collapsed="false">
      <c r="A100" s="7"/>
      <c r="B100" s="8"/>
      <c r="C100" s="8"/>
      <c r="D100" s="8"/>
      <c r="E100" s="11"/>
      <c r="F100" s="8"/>
      <c r="G100" s="8"/>
      <c r="H100" s="6" t="str">
        <f aca="false">IF(A100="","",YEAR(A100))</f>
        <v/>
      </c>
      <c r="I100" s="6" t="str">
        <f aca="false">IF(A100="","",MONTH(A100))</f>
        <v/>
      </c>
    </row>
    <row r="101" customFormat="false" ht="15" hidden="false" customHeight="false" outlineLevel="0" collapsed="false">
      <c r="A101" s="7"/>
      <c r="B101" s="8"/>
      <c r="C101" s="8"/>
      <c r="D101" s="8"/>
      <c r="E101" s="11"/>
      <c r="F101" s="8"/>
      <c r="G101" s="8"/>
      <c r="H101" s="6" t="str">
        <f aca="false">IF(A101="","",YEAR(A101))</f>
        <v/>
      </c>
      <c r="I101" s="6" t="str">
        <f aca="false">IF(A101="","",MONTH(A101))</f>
        <v/>
      </c>
    </row>
    <row r="102" customFormat="false" ht="15" hidden="false" customHeight="false" outlineLevel="0" collapsed="false">
      <c r="A102" s="7"/>
      <c r="B102" s="8"/>
      <c r="C102" s="8"/>
      <c r="D102" s="8"/>
      <c r="E102" s="11"/>
      <c r="F102" s="8"/>
      <c r="G102" s="8"/>
      <c r="H102" s="6" t="str">
        <f aca="false">IF(A102="","",YEAR(A102))</f>
        <v/>
      </c>
      <c r="I102" s="6" t="str">
        <f aca="false">IF(A102="","",MONTH(A102))</f>
        <v/>
      </c>
    </row>
    <row r="103" customFormat="false" ht="15" hidden="false" customHeight="false" outlineLevel="0" collapsed="false">
      <c r="A103" s="7"/>
      <c r="B103" s="8"/>
      <c r="C103" s="8"/>
      <c r="D103" s="8"/>
      <c r="E103" s="11"/>
      <c r="F103" s="8"/>
      <c r="G103" s="8"/>
      <c r="H103" s="6" t="str">
        <f aca="false">IF(A103="","",YEAR(A103))</f>
        <v/>
      </c>
      <c r="I103" s="6" t="str">
        <f aca="false">IF(A103="","",MONTH(A103))</f>
        <v/>
      </c>
    </row>
    <row r="104" customFormat="false" ht="15" hidden="false" customHeight="false" outlineLevel="0" collapsed="false">
      <c r="A104" s="7"/>
      <c r="B104" s="8"/>
      <c r="C104" s="8"/>
      <c r="D104" s="8"/>
      <c r="E104" s="11"/>
      <c r="F104" s="8"/>
      <c r="G104" s="8"/>
      <c r="H104" s="6" t="str">
        <f aca="false">IF(A104="","",YEAR(A104))</f>
        <v/>
      </c>
      <c r="I104" s="6" t="str">
        <f aca="false">IF(A104="","",MONTH(A104))</f>
        <v/>
      </c>
    </row>
    <row r="105" customFormat="false" ht="15" hidden="false" customHeight="false" outlineLevel="0" collapsed="false">
      <c r="A105" s="7"/>
      <c r="B105" s="8"/>
      <c r="C105" s="8"/>
      <c r="D105" s="8"/>
      <c r="E105" s="11"/>
      <c r="F105" s="8"/>
      <c r="G105" s="8"/>
      <c r="H105" s="6" t="str">
        <f aca="false">IF(A105="","",YEAR(A105))</f>
        <v/>
      </c>
      <c r="I105" s="6" t="str">
        <f aca="false">IF(A105="","",MONTH(A105))</f>
        <v/>
      </c>
    </row>
    <row r="106" customFormat="false" ht="15" hidden="false" customHeight="false" outlineLevel="0" collapsed="false">
      <c r="A106" s="7"/>
      <c r="B106" s="8"/>
      <c r="C106" s="8"/>
      <c r="D106" s="8"/>
      <c r="E106" s="11"/>
      <c r="F106" s="8"/>
      <c r="G106" s="8"/>
      <c r="H106" s="6" t="str">
        <f aca="false">IF(A106="","",YEAR(A106))</f>
        <v/>
      </c>
      <c r="I106" s="6" t="str">
        <f aca="false">IF(A106="","",MONTH(A106))</f>
        <v/>
      </c>
    </row>
    <row r="107" customFormat="false" ht="15" hidden="false" customHeight="false" outlineLevel="0" collapsed="false">
      <c r="A107" s="7"/>
      <c r="B107" s="8"/>
      <c r="C107" s="8"/>
      <c r="D107" s="8"/>
      <c r="E107" s="11"/>
      <c r="F107" s="8"/>
      <c r="G107" s="8"/>
      <c r="H107" s="6" t="str">
        <f aca="false">IF(A107="","",YEAR(A107))</f>
        <v/>
      </c>
      <c r="I107" s="6" t="str">
        <f aca="false">IF(A107="","",MONTH(A107))</f>
        <v/>
      </c>
    </row>
    <row r="108" customFormat="false" ht="15" hidden="false" customHeight="false" outlineLevel="0" collapsed="false">
      <c r="A108" s="7"/>
      <c r="B108" s="8"/>
      <c r="C108" s="8"/>
      <c r="D108" s="8"/>
      <c r="E108" s="11"/>
      <c r="F108" s="8"/>
      <c r="G108" s="8"/>
      <c r="H108" s="6" t="str">
        <f aca="false">IF(A108="","",YEAR(A108))</f>
        <v/>
      </c>
      <c r="I108" s="6" t="str">
        <f aca="false">IF(A108="","",MONTH(A108))</f>
        <v/>
      </c>
    </row>
    <row r="109" customFormat="false" ht="15" hidden="false" customHeight="false" outlineLevel="0" collapsed="false">
      <c r="A109" s="7"/>
      <c r="B109" s="8"/>
      <c r="C109" s="8"/>
      <c r="D109" s="8"/>
      <c r="E109" s="11"/>
      <c r="F109" s="8"/>
      <c r="G109" s="8"/>
      <c r="H109" s="6" t="str">
        <f aca="false">IF(A109="","",YEAR(A109))</f>
        <v/>
      </c>
      <c r="I109" s="6" t="str">
        <f aca="false">IF(A109="","",MONTH(A109))</f>
        <v/>
      </c>
    </row>
    <row r="110" customFormat="false" ht="15" hidden="false" customHeight="false" outlineLevel="0" collapsed="false">
      <c r="A110" s="7"/>
      <c r="B110" s="8"/>
      <c r="C110" s="8"/>
      <c r="D110" s="8"/>
      <c r="E110" s="11"/>
      <c r="F110" s="8"/>
      <c r="G110" s="8"/>
      <c r="H110" s="6" t="str">
        <f aca="false">IF(A110="","",YEAR(A110))</f>
        <v/>
      </c>
      <c r="I110" s="6" t="str">
        <f aca="false">IF(A110="","",MONTH(A110))</f>
        <v/>
      </c>
    </row>
    <row r="111" customFormat="false" ht="15" hidden="false" customHeight="false" outlineLevel="0" collapsed="false">
      <c r="A111" s="7"/>
      <c r="B111" s="8"/>
      <c r="C111" s="8"/>
      <c r="D111" s="8"/>
      <c r="E111" s="11"/>
      <c r="F111" s="8"/>
      <c r="G111" s="8"/>
      <c r="H111" s="6" t="str">
        <f aca="false">IF(A111="","",YEAR(A111))</f>
        <v/>
      </c>
      <c r="I111" s="6" t="str">
        <f aca="false">IF(A111="","",MONTH(A111))</f>
        <v/>
      </c>
    </row>
    <row r="112" customFormat="false" ht="15" hidden="false" customHeight="false" outlineLevel="0" collapsed="false">
      <c r="A112" s="7"/>
      <c r="B112" s="8"/>
      <c r="C112" s="8"/>
      <c r="D112" s="8"/>
      <c r="E112" s="11"/>
      <c r="F112" s="8"/>
      <c r="G112" s="8"/>
      <c r="H112" s="6" t="str">
        <f aca="false">IF(A112="","",YEAR(A112))</f>
        <v/>
      </c>
      <c r="I112" s="6" t="str">
        <f aca="false">IF(A112="","",MONTH(A112))</f>
        <v/>
      </c>
    </row>
    <row r="113" customFormat="false" ht="15" hidden="false" customHeight="false" outlineLevel="0" collapsed="false">
      <c r="A113" s="7"/>
      <c r="B113" s="8"/>
      <c r="C113" s="8"/>
      <c r="D113" s="8"/>
      <c r="E113" s="11"/>
      <c r="F113" s="8"/>
      <c r="G113" s="8"/>
      <c r="H113" s="6" t="str">
        <f aca="false">IF(A113="","",YEAR(A113))</f>
        <v/>
      </c>
      <c r="I113" s="6" t="str">
        <f aca="false">IF(A113="","",MONTH(A113))</f>
        <v/>
      </c>
    </row>
    <row r="114" customFormat="false" ht="15" hidden="false" customHeight="false" outlineLevel="0" collapsed="false">
      <c r="A114" s="7"/>
      <c r="B114" s="8"/>
      <c r="C114" s="8"/>
      <c r="D114" s="8"/>
      <c r="E114" s="11"/>
      <c r="F114" s="8"/>
      <c r="G114" s="8"/>
      <c r="H114" s="6" t="str">
        <f aca="false">IF(A114="","",YEAR(A114))</f>
        <v/>
      </c>
      <c r="I114" s="6" t="str">
        <f aca="false">IF(A114="","",MONTH(A114))</f>
        <v/>
      </c>
    </row>
    <row r="115" customFormat="false" ht="15" hidden="false" customHeight="false" outlineLevel="0" collapsed="false">
      <c r="A115" s="7"/>
      <c r="B115" s="8"/>
      <c r="C115" s="8"/>
      <c r="D115" s="8"/>
      <c r="E115" s="11"/>
      <c r="F115" s="8"/>
      <c r="G115" s="8"/>
      <c r="H115" s="6" t="str">
        <f aca="false">IF(A115="","",YEAR(A115))</f>
        <v/>
      </c>
      <c r="I115" s="6" t="str">
        <f aca="false">IF(A115="","",MONTH(A115))</f>
        <v/>
      </c>
    </row>
    <row r="116" customFormat="false" ht="15" hidden="false" customHeight="false" outlineLevel="0" collapsed="false">
      <c r="A116" s="7"/>
      <c r="B116" s="8"/>
      <c r="C116" s="8"/>
      <c r="D116" s="8"/>
      <c r="E116" s="11"/>
      <c r="F116" s="8"/>
      <c r="G116" s="8"/>
      <c r="H116" s="6" t="str">
        <f aca="false">IF(A116="","",YEAR(A116))</f>
        <v/>
      </c>
      <c r="I116" s="6" t="str">
        <f aca="false">IF(A116="","",MONTH(A116))</f>
        <v/>
      </c>
    </row>
    <row r="117" customFormat="false" ht="15" hidden="false" customHeight="false" outlineLevel="0" collapsed="false">
      <c r="A117" s="7"/>
      <c r="B117" s="8"/>
      <c r="C117" s="8"/>
      <c r="D117" s="8"/>
      <c r="E117" s="11"/>
      <c r="F117" s="8"/>
      <c r="G117" s="8"/>
      <c r="H117" s="6" t="str">
        <f aca="false">IF(A117="","",YEAR(A117))</f>
        <v/>
      </c>
      <c r="I117" s="6" t="str">
        <f aca="false">IF(A117="","",MONTH(A117))</f>
        <v/>
      </c>
    </row>
    <row r="118" customFormat="false" ht="15" hidden="false" customHeight="false" outlineLevel="0" collapsed="false">
      <c r="A118" s="7"/>
      <c r="B118" s="8"/>
      <c r="C118" s="8"/>
      <c r="D118" s="8"/>
      <c r="E118" s="11"/>
      <c r="F118" s="8"/>
      <c r="G118" s="8"/>
      <c r="H118" s="6" t="str">
        <f aca="false">IF(A118="","",YEAR(A118))</f>
        <v/>
      </c>
      <c r="I118" s="6" t="str">
        <f aca="false">IF(A118="","",MONTH(A118))</f>
        <v/>
      </c>
    </row>
    <row r="119" customFormat="false" ht="15" hidden="false" customHeight="false" outlineLevel="0" collapsed="false">
      <c r="A119" s="7"/>
      <c r="B119" s="8"/>
      <c r="C119" s="8"/>
      <c r="D119" s="8"/>
      <c r="E119" s="11"/>
      <c r="F119" s="8"/>
      <c r="G119" s="8"/>
      <c r="H119" s="6" t="str">
        <f aca="false">IF(A119="","",YEAR(A119))</f>
        <v/>
      </c>
      <c r="I119" s="6" t="str">
        <f aca="false">IF(A119="","",MONTH(A119))</f>
        <v/>
      </c>
    </row>
    <row r="120" customFormat="false" ht="15" hidden="false" customHeight="false" outlineLevel="0" collapsed="false">
      <c r="A120" s="7"/>
      <c r="B120" s="8"/>
      <c r="C120" s="8"/>
      <c r="D120" s="8"/>
      <c r="E120" s="11"/>
      <c r="F120" s="8"/>
      <c r="G120" s="8"/>
      <c r="H120" s="6" t="str">
        <f aca="false">IF(A120="","",YEAR(A120))</f>
        <v/>
      </c>
      <c r="I120" s="6" t="str">
        <f aca="false">IF(A120="","",MONTH(A120))</f>
        <v/>
      </c>
    </row>
    <row r="121" customFormat="false" ht="15" hidden="false" customHeight="false" outlineLevel="0" collapsed="false">
      <c r="A121" s="7"/>
      <c r="B121" s="8"/>
      <c r="C121" s="8"/>
      <c r="D121" s="8"/>
      <c r="E121" s="11"/>
      <c r="F121" s="8"/>
      <c r="G121" s="8"/>
      <c r="H121" s="6" t="str">
        <f aca="false">IF(A121="","",YEAR(A121))</f>
        <v/>
      </c>
      <c r="I121" s="6" t="str">
        <f aca="false">IF(A121="","",MONTH(A121))</f>
        <v/>
      </c>
    </row>
    <row r="122" customFormat="false" ht="15" hidden="false" customHeight="false" outlineLevel="0" collapsed="false">
      <c r="A122" s="7"/>
      <c r="B122" s="8"/>
      <c r="C122" s="8"/>
      <c r="D122" s="8"/>
      <c r="E122" s="11"/>
      <c r="F122" s="8"/>
      <c r="G122" s="8"/>
      <c r="H122" s="6" t="str">
        <f aca="false">IF(A122="","",YEAR(A122))</f>
        <v/>
      </c>
      <c r="I122" s="6" t="str">
        <f aca="false">IF(A122="","",MONTH(A122))</f>
        <v/>
      </c>
    </row>
    <row r="123" customFormat="false" ht="15" hidden="false" customHeight="false" outlineLevel="0" collapsed="false">
      <c r="A123" s="7"/>
      <c r="B123" s="8"/>
      <c r="C123" s="8"/>
      <c r="D123" s="8"/>
      <c r="E123" s="11"/>
      <c r="F123" s="8"/>
      <c r="G123" s="8"/>
      <c r="H123" s="6" t="str">
        <f aca="false">IF(A123="","",YEAR(A123))</f>
        <v/>
      </c>
      <c r="I123" s="6" t="str">
        <f aca="false">IF(A123="","",MONTH(A123))</f>
        <v/>
      </c>
    </row>
    <row r="124" customFormat="false" ht="15" hidden="false" customHeight="false" outlineLevel="0" collapsed="false">
      <c r="A124" s="7"/>
      <c r="B124" s="8"/>
      <c r="C124" s="8"/>
      <c r="D124" s="8"/>
      <c r="E124" s="11"/>
      <c r="F124" s="8"/>
      <c r="G124" s="8"/>
      <c r="H124" s="6" t="str">
        <f aca="false">IF(A124="","",YEAR(A124))</f>
        <v/>
      </c>
      <c r="I124" s="6" t="str">
        <f aca="false">IF(A124="","",MONTH(A124))</f>
        <v/>
      </c>
    </row>
    <row r="125" customFormat="false" ht="15" hidden="false" customHeight="false" outlineLevel="0" collapsed="false">
      <c r="A125" s="7"/>
      <c r="B125" s="8"/>
      <c r="C125" s="8"/>
      <c r="D125" s="8"/>
      <c r="E125" s="11"/>
      <c r="F125" s="8"/>
      <c r="G125" s="8"/>
      <c r="H125" s="6" t="str">
        <f aca="false">IF(A125="","",YEAR(A125))</f>
        <v/>
      </c>
      <c r="I125" s="6" t="str">
        <f aca="false">IF(A125="","",MONTH(A125))</f>
        <v/>
      </c>
    </row>
    <row r="126" customFormat="false" ht="15" hidden="false" customHeight="false" outlineLevel="0" collapsed="false">
      <c r="A126" s="7"/>
      <c r="B126" s="8"/>
      <c r="C126" s="8"/>
      <c r="D126" s="8"/>
      <c r="E126" s="11"/>
      <c r="F126" s="8"/>
      <c r="G126" s="8"/>
      <c r="H126" s="6" t="str">
        <f aca="false">IF(A126="","",YEAR(A126))</f>
        <v/>
      </c>
      <c r="I126" s="6" t="str">
        <f aca="false">IF(A126="","",MONTH(A126))</f>
        <v/>
      </c>
    </row>
    <row r="127" customFormat="false" ht="15" hidden="false" customHeight="false" outlineLevel="0" collapsed="false">
      <c r="A127" s="7"/>
      <c r="B127" s="8"/>
      <c r="C127" s="8"/>
      <c r="D127" s="8"/>
      <c r="E127" s="11"/>
      <c r="F127" s="8"/>
      <c r="G127" s="8"/>
      <c r="H127" s="6" t="str">
        <f aca="false">IF(A127="","",YEAR(A127))</f>
        <v/>
      </c>
      <c r="I127" s="6" t="str">
        <f aca="false">IF(A127="","",MONTH(A127))</f>
        <v/>
      </c>
    </row>
    <row r="128" customFormat="false" ht="15" hidden="false" customHeight="false" outlineLevel="0" collapsed="false">
      <c r="A128" s="7"/>
      <c r="B128" s="8"/>
      <c r="C128" s="8"/>
      <c r="D128" s="8"/>
      <c r="E128" s="11"/>
      <c r="F128" s="8"/>
      <c r="G128" s="8"/>
      <c r="H128" s="6" t="str">
        <f aca="false">IF(A128="","",YEAR(A128))</f>
        <v/>
      </c>
      <c r="I128" s="6" t="str">
        <f aca="false">IF(A128="","",MONTH(A128))</f>
        <v/>
      </c>
    </row>
    <row r="129" customFormat="false" ht="15" hidden="false" customHeight="false" outlineLevel="0" collapsed="false">
      <c r="A129" s="7"/>
      <c r="B129" s="8"/>
      <c r="C129" s="8"/>
      <c r="D129" s="8"/>
      <c r="E129" s="11"/>
      <c r="F129" s="8"/>
      <c r="G129" s="8"/>
      <c r="H129" s="6" t="str">
        <f aca="false">IF(A129="","",YEAR(A129))</f>
        <v/>
      </c>
      <c r="I129" s="6" t="str">
        <f aca="false">IF(A129="","",MONTH(A129))</f>
        <v/>
      </c>
    </row>
    <row r="130" customFormat="false" ht="15" hidden="false" customHeight="false" outlineLevel="0" collapsed="false">
      <c r="A130" s="7"/>
      <c r="B130" s="8"/>
      <c r="C130" s="8"/>
      <c r="D130" s="8"/>
      <c r="E130" s="11"/>
      <c r="F130" s="8"/>
      <c r="G130" s="8"/>
      <c r="H130" s="6" t="str">
        <f aca="false">IF(A130="","",YEAR(A130))</f>
        <v/>
      </c>
      <c r="I130" s="6" t="str">
        <f aca="false">IF(A130="","",MONTH(A130))</f>
        <v/>
      </c>
    </row>
    <row r="131" customFormat="false" ht="15" hidden="false" customHeight="false" outlineLevel="0" collapsed="false">
      <c r="A131" s="7"/>
      <c r="B131" s="8"/>
      <c r="C131" s="8"/>
      <c r="D131" s="8"/>
      <c r="E131" s="11"/>
      <c r="F131" s="8"/>
      <c r="G131" s="8"/>
      <c r="H131" s="6" t="str">
        <f aca="false">IF(A131="","",YEAR(A131))</f>
        <v/>
      </c>
      <c r="I131" s="6" t="str">
        <f aca="false">IF(A131="","",MONTH(A131))</f>
        <v/>
      </c>
    </row>
    <row r="132" customFormat="false" ht="15" hidden="false" customHeight="false" outlineLevel="0" collapsed="false">
      <c r="A132" s="7"/>
      <c r="B132" s="8"/>
      <c r="C132" s="8"/>
      <c r="D132" s="8"/>
      <c r="E132" s="11"/>
      <c r="F132" s="8"/>
      <c r="G132" s="8"/>
      <c r="H132" s="6" t="str">
        <f aca="false">IF(A132="","",YEAR(A132))</f>
        <v/>
      </c>
      <c r="I132" s="6" t="str">
        <f aca="false">IF(A132="","",MONTH(A132))</f>
        <v/>
      </c>
    </row>
    <row r="133" customFormat="false" ht="15" hidden="false" customHeight="false" outlineLevel="0" collapsed="false">
      <c r="A133" s="7"/>
      <c r="B133" s="8"/>
      <c r="C133" s="8"/>
      <c r="D133" s="8"/>
      <c r="E133" s="11"/>
      <c r="F133" s="8"/>
      <c r="G133" s="8"/>
      <c r="H133" s="6" t="str">
        <f aca="false">IF(A133="","",YEAR(A133))</f>
        <v/>
      </c>
      <c r="I133" s="6" t="str">
        <f aca="false">IF(A133="","",MONTH(A133))</f>
        <v/>
      </c>
    </row>
    <row r="134" customFormat="false" ht="15" hidden="false" customHeight="false" outlineLevel="0" collapsed="false">
      <c r="A134" s="7"/>
      <c r="B134" s="8"/>
      <c r="C134" s="8"/>
      <c r="D134" s="8"/>
      <c r="E134" s="11"/>
      <c r="F134" s="8"/>
      <c r="G134" s="8"/>
      <c r="H134" s="6" t="str">
        <f aca="false">IF(A134="","",YEAR(A134))</f>
        <v/>
      </c>
      <c r="I134" s="6" t="str">
        <f aca="false">IF(A134="","",MONTH(A134))</f>
        <v/>
      </c>
    </row>
    <row r="135" customFormat="false" ht="15" hidden="false" customHeight="false" outlineLevel="0" collapsed="false">
      <c r="A135" s="7"/>
      <c r="B135" s="8"/>
      <c r="C135" s="8"/>
      <c r="D135" s="8"/>
      <c r="E135" s="11"/>
      <c r="F135" s="8"/>
      <c r="G135" s="8"/>
      <c r="H135" s="6" t="str">
        <f aca="false">IF(A135="","",YEAR(A135))</f>
        <v/>
      </c>
      <c r="I135" s="6" t="str">
        <f aca="false">IF(A135="","",MONTH(A135))</f>
        <v/>
      </c>
    </row>
    <row r="136" customFormat="false" ht="15" hidden="false" customHeight="false" outlineLevel="0" collapsed="false">
      <c r="A136" s="7"/>
      <c r="B136" s="8"/>
      <c r="C136" s="8"/>
      <c r="D136" s="8"/>
      <c r="E136" s="11"/>
      <c r="F136" s="8"/>
      <c r="G136" s="8"/>
      <c r="H136" s="6" t="str">
        <f aca="false">IF(A136="","",YEAR(A136))</f>
        <v/>
      </c>
      <c r="I136" s="6" t="str">
        <f aca="false">IF(A136="","",MONTH(A136))</f>
        <v/>
      </c>
    </row>
    <row r="137" customFormat="false" ht="15" hidden="false" customHeight="false" outlineLevel="0" collapsed="false">
      <c r="A137" s="7"/>
      <c r="B137" s="8"/>
      <c r="C137" s="8"/>
      <c r="D137" s="8"/>
      <c r="E137" s="11"/>
      <c r="F137" s="8"/>
      <c r="G137" s="8"/>
      <c r="H137" s="6" t="str">
        <f aca="false">IF(A137="","",YEAR(A137))</f>
        <v/>
      </c>
      <c r="I137" s="6" t="str">
        <f aca="false">IF(A137="","",MONTH(A137))</f>
        <v/>
      </c>
    </row>
    <row r="138" customFormat="false" ht="15" hidden="false" customHeight="false" outlineLevel="0" collapsed="false">
      <c r="A138" s="7"/>
      <c r="B138" s="8"/>
      <c r="C138" s="8"/>
      <c r="D138" s="8"/>
      <c r="E138" s="11"/>
      <c r="F138" s="8"/>
      <c r="G138" s="8"/>
      <c r="H138" s="6" t="str">
        <f aca="false">IF(A138="","",YEAR(A138))</f>
        <v/>
      </c>
      <c r="I138" s="6" t="str">
        <f aca="false">IF(A138="","",MONTH(A138))</f>
        <v/>
      </c>
    </row>
    <row r="139" customFormat="false" ht="15" hidden="false" customHeight="false" outlineLevel="0" collapsed="false">
      <c r="A139" s="7"/>
      <c r="B139" s="8"/>
      <c r="C139" s="8"/>
      <c r="D139" s="8"/>
      <c r="E139" s="11"/>
      <c r="F139" s="8"/>
      <c r="G139" s="8"/>
      <c r="H139" s="6" t="str">
        <f aca="false">IF(A139="","",YEAR(A139))</f>
        <v/>
      </c>
      <c r="I139" s="6" t="str">
        <f aca="false">IF(A139="","",MONTH(A139))</f>
        <v/>
      </c>
    </row>
    <row r="140" customFormat="false" ht="15" hidden="false" customHeight="false" outlineLevel="0" collapsed="false">
      <c r="A140" s="7"/>
      <c r="B140" s="8"/>
      <c r="C140" s="8"/>
      <c r="D140" s="8"/>
      <c r="E140" s="11"/>
      <c r="F140" s="8"/>
      <c r="G140" s="8"/>
      <c r="H140" s="6" t="str">
        <f aca="false">IF(A140="","",YEAR(A140))</f>
        <v/>
      </c>
      <c r="I140" s="6" t="str">
        <f aca="false">IF(A140="","",MONTH(A140))</f>
        <v/>
      </c>
    </row>
    <row r="141" customFormat="false" ht="15" hidden="false" customHeight="false" outlineLevel="0" collapsed="false">
      <c r="A141" s="7"/>
      <c r="B141" s="8"/>
      <c r="C141" s="8"/>
      <c r="D141" s="8"/>
      <c r="E141" s="11"/>
      <c r="F141" s="8"/>
      <c r="G141" s="8"/>
      <c r="H141" s="6" t="str">
        <f aca="false">IF(A141="","",YEAR(A141))</f>
        <v/>
      </c>
      <c r="I141" s="6" t="str">
        <f aca="false">IF(A141="","",MONTH(A141))</f>
        <v/>
      </c>
    </row>
    <row r="142" customFormat="false" ht="15" hidden="false" customHeight="false" outlineLevel="0" collapsed="false">
      <c r="A142" s="7"/>
      <c r="B142" s="8"/>
      <c r="C142" s="8"/>
      <c r="D142" s="8"/>
      <c r="E142" s="11"/>
      <c r="F142" s="8"/>
      <c r="G142" s="8"/>
      <c r="H142" s="6" t="str">
        <f aca="false">IF(A142="","",YEAR(A142))</f>
        <v/>
      </c>
      <c r="I142" s="6" t="str">
        <f aca="false">IF(A142="","",MONTH(A142))</f>
        <v/>
      </c>
    </row>
    <row r="143" customFormat="false" ht="15" hidden="false" customHeight="false" outlineLevel="0" collapsed="false">
      <c r="A143" s="7"/>
      <c r="B143" s="8"/>
      <c r="C143" s="8"/>
      <c r="D143" s="8"/>
      <c r="E143" s="11"/>
      <c r="F143" s="8"/>
      <c r="G143" s="8"/>
      <c r="H143" s="6" t="str">
        <f aca="false">IF(A143="","",YEAR(A143))</f>
        <v/>
      </c>
      <c r="I143" s="6" t="str">
        <f aca="false">IF(A143="","",MONTH(A143))</f>
        <v/>
      </c>
    </row>
    <row r="144" customFormat="false" ht="15" hidden="false" customHeight="false" outlineLevel="0" collapsed="false">
      <c r="A144" s="7"/>
      <c r="B144" s="8"/>
      <c r="C144" s="8"/>
      <c r="D144" s="8"/>
      <c r="E144" s="11"/>
      <c r="F144" s="8"/>
      <c r="G144" s="8"/>
      <c r="H144" s="6" t="str">
        <f aca="false">IF(A144="","",YEAR(A144))</f>
        <v/>
      </c>
      <c r="I144" s="6" t="str">
        <f aca="false">IF(A144="","",MONTH(A144))</f>
        <v/>
      </c>
    </row>
    <row r="145" customFormat="false" ht="15" hidden="false" customHeight="false" outlineLevel="0" collapsed="false">
      <c r="A145" s="7"/>
      <c r="B145" s="8"/>
      <c r="C145" s="8"/>
      <c r="D145" s="8"/>
      <c r="E145" s="11"/>
      <c r="F145" s="8"/>
      <c r="G145" s="8"/>
      <c r="H145" s="6" t="str">
        <f aca="false">IF(A145="","",YEAR(A145))</f>
        <v/>
      </c>
      <c r="I145" s="6" t="str">
        <f aca="false">IF(A145="","",MONTH(A145))</f>
        <v/>
      </c>
    </row>
    <row r="146" customFormat="false" ht="15" hidden="false" customHeight="false" outlineLevel="0" collapsed="false">
      <c r="A146" s="7"/>
      <c r="B146" s="8"/>
      <c r="C146" s="8"/>
      <c r="D146" s="8"/>
      <c r="E146" s="11"/>
      <c r="F146" s="8"/>
      <c r="G146" s="8"/>
      <c r="H146" s="6" t="str">
        <f aca="false">IF(A146="","",YEAR(A146))</f>
        <v/>
      </c>
      <c r="I146" s="6" t="str">
        <f aca="false">IF(A146="","",MONTH(A146))</f>
        <v/>
      </c>
    </row>
    <row r="147" customFormat="false" ht="15" hidden="false" customHeight="false" outlineLevel="0" collapsed="false">
      <c r="A147" s="7"/>
      <c r="B147" s="8"/>
      <c r="C147" s="8"/>
      <c r="D147" s="8"/>
      <c r="E147" s="11"/>
      <c r="F147" s="8"/>
      <c r="G147" s="8"/>
      <c r="H147" s="6" t="str">
        <f aca="false">IF(A147="","",YEAR(A147))</f>
        <v/>
      </c>
      <c r="I147" s="6" t="str">
        <f aca="false">IF(A147="","",MONTH(A147))</f>
        <v/>
      </c>
    </row>
    <row r="148" customFormat="false" ht="15" hidden="false" customHeight="false" outlineLevel="0" collapsed="false">
      <c r="A148" s="7"/>
      <c r="B148" s="8"/>
      <c r="C148" s="8"/>
      <c r="D148" s="8"/>
      <c r="E148" s="11"/>
      <c r="F148" s="8"/>
      <c r="G148" s="8"/>
      <c r="H148" s="6" t="str">
        <f aca="false">IF(A148="","",YEAR(A148))</f>
        <v/>
      </c>
      <c r="I148" s="6" t="str">
        <f aca="false">IF(A148="","",MONTH(A148))</f>
        <v/>
      </c>
    </row>
    <row r="149" customFormat="false" ht="15" hidden="false" customHeight="false" outlineLevel="0" collapsed="false">
      <c r="A149" s="7"/>
      <c r="B149" s="8"/>
      <c r="C149" s="8"/>
      <c r="D149" s="8"/>
      <c r="E149" s="11"/>
      <c r="F149" s="8"/>
      <c r="G149" s="8"/>
      <c r="H149" s="6" t="str">
        <f aca="false">IF(A149="","",YEAR(A149))</f>
        <v/>
      </c>
      <c r="I149" s="6" t="str">
        <f aca="false">IF(A149="","",MONTH(A149))</f>
        <v/>
      </c>
    </row>
    <row r="150" customFormat="false" ht="15" hidden="false" customHeight="false" outlineLevel="0" collapsed="false">
      <c r="A150" s="7"/>
      <c r="B150" s="8"/>
      <c r="C150" s="8"/>
      <c r="D150" s="8"/>
      <c r="E150" s="11"/>
      <c r="F150" s="8"/>
      <c r="G150" s="8"/>
      <c r="H150" s="6" t="str">
        <f aca="false">IF(A150="","",YEAR(A150))</f>
        <v/>
      </c>
      <c r="I150" s="6" t="str">
        <f aca="false">IF(A150="","",MONTH(A150))</f>
        <v/>
      </c>
    </row>
    <row r="151" customFormat="false" ht="15" hidden="false" customHeight="false" outlineLevel="0" collapsed="false">
      <c r="A151" s="7"/>
      <c r="B151" s="8"/>
      <c r="C151" s="8"/>
      <c r="D151" s="8"/>
      <c r="E151" s="11"/>
      <c r="F151" s="8"/>
      <c r="G151" s="8"/>
      <c r="H151" s="6" t="str">
        <f aca="false">IF(A151="","",YEAR(A151))</f>
        <v/>
      </c>
      <c r="I151" s="6" t="str">
        <f aca="false">IF(A151="","",MONTH(A151))</f>
        <v/>
      </c>
    </row>
    <row r="152" customFormat="false" ht="15" hidden="false" customHeight="false" outlineLevel="0" collapsed="false">
      <c r="A152" s="7"/>
      <c r="B152" s="8"/>
      <c r="C152" s="8"/>
      <c r="D152" s="8"/>
      <c r="E152" s="11"/>
      <c r="F152" s="8"/>
      <c r="G152" s="8"/>
      <c r="H152" s="6" t="str">
        <f aca="false">IF(A152="","",YEAR(A152))</f>
        <v/>
      </c>
      <c r="I152" s="6" t="str">
        <f aca="false">IF(A152="","",MONTH(A152))</f>
        <v/>
      </c>
    </row>
    <row r="153" customFormat="false" ht="15" hidden="false" customHeight="false" outlineLevel="0" collapsed="false">
      <c r="A153" s="7"/>
      <c r="B153" s="8"/>
      <c r="C153" s="8"/>
      <c r="D153" s="8"/>
      <c r="E153" s="11"/>
      <c r="F153" s="8"/>
      <c r="G153" s="8"/>
      <c r="H153" s="6" t="str">
        <f aca="false">IF(A153="","",YEAR(A153))</f>
        <v/>
      </c>
      <c r="I153" s="6" t="str">
        <f aca="false">IF(A153="","",MONTH(A153))</f>
        <v/>
      </c>
    </row>
    <row r="154" customFormat="false" ht="15" hidden="false" customHeight="false" outlineLevel="0" collapsed="false">
      <c r="A154" s="7"/>
      <c r="B154" s="8"/>
      <c r="C154" s="8"/>
      <c r="D154" s="8"/>
      <c r="E154" s="11"/>
      <c r="F154" s="8"/>
      <c r="G154" s="8"/>
      <c r="H154" s="6" t="str">
        <f aca="false">IF(A154="","",YEAR(A154))</f>
        <v/>
      </c>
      <c r="I154" s="6" t="str">
        <f aca="false">IF(A154="","",MONTH(A154))</f>
        <v/>
      </c>
    </row>
    <row r="155" customFormat="false" ht="15" hidden="false" customHeight="false" outlineLevel="0" collapsed="false">
      <c r="A155" s="7"/>
      <c r="B155" s="8"/>
      <c r="C155" s="8"/>
      <c r="D155" s="8"/>
      <c r="E155" s="11"/>
      <c r="F155" s="8"/>
      <c r="G155" s="8"/>
      <c r="H155" s="6" t="str">
        <f aca="false">IF(A155="","",YEAR(A155))</f>
        <v/>
      </c>
      <c r="I155" s="6" t="str">
        <f aca="false">IF(A155="","",MONTH(A155))</f>
        <v/>
      </c>
    </row>
    <row r="156" customFormat="false" ht="15" hidden="false" customHeight="false" outlineLevel="0" collapsed="false">
      <c r="A156" s="7"/>
      <c r="B156" s="8"/>
      <c r="C156" s="8"/>
      <c r="D156" s="8"/>
      <c r="E156" s="11"/>
      <c r="F156" s="8"/>
      <c r="G156" s="8"/>
      <c r="H156" s="6" t="str">
        <f aca="false">IF(A156="","",YEAR(A156))</f>
        <v/>
      </c>
      <c r="I156" s="6" t="str">
        <f aca="false">IF(A156="","",MONTH(A156))</f>
        <v/>
      </c>
    </row>
    <row r="157" customFormat="false" ht="15" hidden="false" customHeight="false" outlineLevel="0" collapsed="false">
      <c r="A157" s="7"/>
      <c r="B157" s="8"/>
      <c r="C157" s="8"/>
      <c r="D157" s="8"/>
      <c r="E157" s="11"/>
      <c r="F157" s="8"/>
      <c r="G157" s="8"/>
      <c r="H157" s="6" t="str">
        <f aca="false">IF(A157="","",YEAR(A157))</f>
        <v/>
      </c>
      <c r="I157" s="6" t="str">
        <f aca="false">IF(A157="","",MONTH(A157))</f>
        <v/>
      </c>
    </row>
    <row r="158" customFormat="false" ht="15" hidden="false" customHeight="false" outlineLevel="0" collapsed="false">
      <c r="A158" s="7"/>
      <c r="B158" s="8"/>
      <c r="C158" s="8"/>
      <c r="D158" s="8"/>
      <c r="E158" s="11"/>
      <c r="F158" s="8"/>
      <c r="G158" s="8"/>
      <c r="H158" s="6" t="str">
        <f aca="false">IF(A158="","",YEAR(A158))</f>
        <v/>
      </c>
      <c r="I158" s="6" t="str">
        <f aca="false">IF(A158="","",MONTH(A158))</f>
        <v/>
      </c>
    </row>
    <row r="159" customFormat="false" ht="15" hidden="false" customHeight="false" outlineLevel="0" collapsed="false">
      <c r="A159" s="7"/>
      <c r="B159" s="8"/>
      <c r="C159" s="8"/>
      <c r="D159" s="8"/>
      <c r="E159" s="11"/>
      <c r="F159" s="8"/>
      <c r="G159" s="8"/>
      <c r="H159" s="6" t="str">
        <f aca="false">IF(A159="","",YEAR(A159))</f>
        <v/>
      </c>
      <c r="I159" s="6" t="str">
        <f aca="false">IF(A159="","",MONTH(A159))</f>
        <v/>
      </c>
    </row>
    <row r="160" customFormat="false" ht="15" hidden="false" customHeight="false" outlineLevel="0" collapsed="false">
      <c r="A160" s="7"/>
      <c r="B160" s="8"/>
      <c r="C160" s="8"/>
      <c r="D160" s="8"/>
      <c r="E160" s="11"/>
      <c r="F160" s="8"/>
      <c r="G160" s="8"/>
      <c r="H160" s="6" t="str">
        <f aca="false">IF(A160="","",YEAR(A160))</f>
        <v/>
      </c>
      <c r="I160" s="6" t="str">
        <f aca="false">IF(A160="","",MONTH(A160))</f>
        <v/>
      </c>
    </row>
    <row r="161" customFormat="false" ht="15" hidden="false" customHeight="false" outlineLevel="0" collapsed="false">
      <c r="A161" s="7"/>
      <c r="B161" s="8"/>
      <c r="C161" s="8"/>
      <c r="D161" s="8"/>
      <c r="E161" s="11"/>
      <c r="F161" s="8"/>
      <c r="G161" s="8"/>
      <c r="H161" s="6" t="str">
        <f aca="false">IF(A161="","",YEAR(A161))</f>
        <v/>
      </c>
      <c r="I161" s="6" t="str">
        <f aca="false">IF(A161="","",MONTH(A161))</f>
        <v/>
      </c>
    </row>
    <row r="162" customFormat="false" ht="15" hidden="false" customHeight="false" outlineLevel="0" collapsed="false">
      <c r="A162" s="7"/>
      <c r="B162" s="8"/>
      <c r="C162" s="8"/>
      <c r="D162" s="8"/>
      <c r="E162" s="11"/>
      <c r="F162" s="8"/>
      <c r="G162" s="8"/>
      <c r="H162" s="6" t="str">
        <f aca="false">IF(A162="","",YEAR(A162))</f>
        <v/>
      </c>
      <c r="I162" s="6" t="str">
        <f aca="false">IF(A162="","",MONTH(A162))</f>
        <v/>
      </c>
    </row>
    <row r="163" customFormat="false" ht="15" hidden="false" customHeight="false" outlineLevel="0" collapsed="false">
      <c r="A163" s="7"/>
      <c r="B163" s="8"/>
      <c r="C163" s="8"/>
      <c r="D163" s="8"/>
      <c r="E163" s="11"/>
      <c r="F163" s="8"/>
      <c r="G163" s="8"/>
      <c r="H163" s="6" t="str">
        <f aca="false">IF(A163="","",YEAR(A163))</f>
        <v/>
      </c>
      <c r="I163" s="6" t="str">
        <f aca="false">IF(A163="","",MONTH(A163))</f>
        <v/>
      </c>
    </row>
    <row r="164" customFormat="false" ht="15" hidden="false" customHeight="false" outlineLevel="0" collapsed="false">
      <c r="A164" s="7"/>
      <c r="B164" s="8"/>
      <c r="C164" s="8"/>
      <c r="D164" s="8"/>
      <c r="E164" s="11"/>
      <c r="F164" s="8"/>
      <c r="G164" s="8"/>
      <c r="H164" s="6" t="str">
        <f aca="false">IF(A164="","",YEAR(A164))</f>
        <v/>
      </c>
      <c r="I164" s="6" t="str">
        <f aca="false">IF(A164="","",MONTH(A164))</f>
        <v/>
      </c>
    </row>
    <row r="165" customFormat="false" ht="15" hidden="false" customHeight="false" outlineLevel="0" collapsed="false">
      <c r="A165" s="7"/>
      <c r="B165" s="8"/>
      <c r="C165" s="8"/>
      <c r="D165" s="8"/>
      <c r="E165" s="11"/>
      <c r="F165" s="8"/>
      <c r="G165" s="8"/>
      <c r="H165" s="6" t="str">
        <f aca="false">IF(A165="","",YEAR(A165))</f>
        <v/>
      </c>
      <c r="I165" s="6" t="str">
        <f aca="false">IF(A165="","",MONTH(A165))</f>
        <v/>
      </c>
    </row>
    <row r="166" customFormat="false" ht="15" hidden="false" customHeight="false" outlineLevel="0" collapsed="false">
      <c r="A166" s="7"/>
      <c r="B166" s="8"/>
      <c r="C166" s="8"/>
      <c r="D166" s="8"/>
      <c r="E166" s="11"/>
      <c r="F166" s="8"/>
      <c r="G166" s="8"/>
      <c r="H166" s="6" t="str">
        <f aca="false">IF(A166="","",YEAR(A166))</f>
        <v/>
      </c>
      <c r="I166" s="6" t="str">
        <f aca="false">IF(A166="","",MONTH(A166))</f>
        <v/>
      </c>
    </row>
    <row r="167" customFormat="false" ht="15" hidden="false" customHeight="false" outlineLevel="0" collapsed="false">
      <c r="A167" s="7"/>
      <c r="B167" s="8"/>
      <c r="C167" s="8"/>
      <c r="D167" s="8"/>
      <c r="E167" s="11"/>
      <c r="F167" s="8"/>
      <c r="G167" s="8"/>
      <c r="H167" s="6" t="str">
        <f aca="false">IF(A167="","",YEAR(A167))</f>
        <v/>
      </c>
      <c r="I167" s="6" t="str">
        <f aca="false">IF(A167="","",MONTH(A167))</f>
        <v/>
      </c>
    </row>
    <row r="168" customFormat="false" ht="15" hidden="false" customHeight="false" outlineLevel="0" collapsed="false">
      <c r="A168" s="7"/>
      <c r="B168" s="8"/>
      <c r="C168" s="8"/>
      <c r="D168" s="8"/>
      <c r="E168" s="11"/>
      <c r="F168" s="8"/>
      <c r="G168" s="8"/>
      <c r="H168" s="6" t="str">
        <f aca="false">IF(A168="","",YEAR(A168))</f>
        <v/>
      </c>
      <c r="I168" s="6" t="str">
        <f aca="false">IF(A168="","",MONTH(A168))</f>
        <v/>
      </c>
    </row>
    <row r="169" customFormat="false" ht="15" hidden="false" customHeight="false" outlineLevel="0" collapsed="false">
      <c r="A169" s="7"/>
      <c r="B169" s="8"/>
      <c r="C169" s="8"/>
      <c r="D169" s="8"/>
      <c r="E169" s="11"/>
      <c r="F169" s="8"/>
      <c r="G169" s="8"/>
      <c r="H169" s="6" t="str">
        <f aca="false">IF(A169="","",YEAR(A169))</f>
        <v/>
      </c>
      <c r="I169" s="6" t="str">
        <f aca="false">IF(A169="","",MONTH(A169))</f>
        <v/>
      </c>
    </row>
    <row r="170" customFormat="false" ht="15" hidden="false" customHeight="false" outlineLevel="0" collapsed="false">
      <c r="A170" s="7"/>
      <c r="B170" s="8"/>
      <c r="C170" s="8"/>
      <c r="D170" s="8"/>
      <c r="E170" s="11"/>
      <c r="F170" s="8"/>
      <c r="G170" s="8"/>
      <c r="H170" s="6" t="str">
        <f aca="false">IF(A170="","",YEAR(A170))</f>
        <v/>
      </c>
      <c r="I170" s="6" t="str">
        <f aca="false">IF(A170="","",MONTH(A170))</f>
        <v/>
      </c>
    </row>
    <row r="171" customFormat="false" ht="15" hidden="false" customHeight="false" outlineLevel="0" collapsed="false">
      <c r="A171" s="7"/>
      <c r="B171" s="8"/>
      <c r="C171" s="8"/>
      <c r="D171" s="8"/>
      <c r="E171" s="11"/>
      <c r="F171" s="8"/>
      <c r="G171" s="8"/>
      <c r="H171" s="6" t="str">
        <f aca="false">IF(A171="","",YEAR(A171))</f>
        <v/>
      </c>
      <c r="I171" s="6" t="str">
        <f aca="false">IF(A171="","",MONTH(A171))</f>
        <v/>
      </c>
    </row>
    <row r="172" customFormat="false" ht="15" hidden="false" customHeight="false" outlineLevel="0" collapsed="false">
      <c r="A172" s="7"/>
      <c r="B172" s="8"/>
      <c r="C172" s="8"/>
      <c r="D172" s="8"/>
      <c r="E172" s="11"/>
      <c r="F172" s="8"/>
      <c r="G172" s="8"/>
      <c r="H172" s="6" t="str">
        <f aca="false">IF(A172="","",YEAR(A172))</f>
        <v/>
      </c>
      <c r="I172" s="6" t="str">
        <f aca="false">IF(A172="","",MONTH(A172))</f>
        <v/>
      </c>
    </row>
    <row r="173" customFormat="false" ht="15" hidden="false" customHeight="false" outlineLevel="0" collapsed="false">
      <c r="A173" s="7"/>
      <c r="B173" s="8"/>
      <c r="C173" s="8"/>
      <c r="D173" s="8"/>
      <c r="E173" s="11"/>
      <c r="F173" s="8"/>
      <c r="G173" s="8"/>
      <c r="H173" s="6" t="str">
        <f aca="false">IF(A173="","",YEAR(A173))</f>
        <v/>
      </c>
      <c r="I173" s="6" t="str">
        <f aca="false">IF(A173="","",MONTH(A173))</f>
        <v/>
      </c>
    </row>
    <row r="174" customFormat="false" ht="15" hidden="false" customHeight="false" outlineLevel="0" collapsed="false">
      <c r="A174" s="7"/>
      <c r="B174" s="8"/>
      <c r="C174" s="8"/>
      <c r="D174" s="8"/>
      <c r="E174" s="11"/>
      <c r="F174" s="8"/>
      <c r="G174" s="8"/>
      <c r="H174" s="6" t="str">
        <f aca="false">IF(A174="","",YEAR(A174))</f>
        <v/>
      </c>
      <c r="I174" s="6" t="str">
        <f aca="false">IF(A174="","",MONTH(A174))</f>
        <v/>
      </c>
    </row>
    <row r="175" customFormat="false" ht="15" hidden="false" customHeight="false" outlineLevel="0" collapsed="false">
      <c r="A175" s="7"/>
      <c r="B175" s="8"/>
      <c r="C175" s="8"/>
      <c r="D175" s="8"/>
      <c r="E175" s="11"/>
      <c r="F175" s="8"/>
      <c r="G175" s="8"/>
      <c r="H175" s="6" t="str">
        <f aca="false">IF(A175="","",YEAR(A175))</f>
        <v/>
      </c>
      <c r="I175" s="6" t="str">
        <f aca="false">IF(A175="","",MONTH(A175))</f>
        <v/>
      </c>
    </row>
    <row r="176" customFormat="false" ht="15" hidden="false" customHeight="false" outlineLevel="0" collapsed="false">
      <c r="A176" s="7"/>
      <c r="B176" s="8"/>
      <c r="C176" s="8"/>
      <c r="D176" s="8"/>
      <c r="E176" s="11"/>
      <c r="F176" s="8"/>
      <c r="G176" s="8"/>
      <c r="H176" s="6" t="str">
        <f aca="false">IF(A176="","",YEAR(A176))</f>
        <v/>
      </c>
      <c r="I176" s="6" t="str">
        <f aca="false">IF(A176="","",MONTH(A176))</f>
        <v/>
      </c>
    </row>
    <row r="177" customFormat="false" ht="15" hidden="false" customHeight="false" outlineLevel="0" collapsed="false">
      <c r="A177" s="7"/>
      <c r="B177" s="8"/>
      <c r="C177" s="8"/>
      <c r="D177" s="8"/>
      <c r="E177" s="11"/>
      <c r="F177" s="8"/>
      <c r="G177" s="8"/>
      <c r="H177" s="6" t="str">
        <f aca="false">IF(A177="","",YEAR(A177))</f>
        <v/>
      </c>
      <c r="I177" s="6" t="str">
        <f aca="false">IF(A177="","",MONTH(A177))</f>
        <v/>
      </c>
    </row>
    <row r="178" customFormat="false" ht="15" hidden="false" customHeight="false" outlineLevel="0" collapsed="false">
      <c r="A178" s="7"/>
      <c r="B178" s="8"/>
      <c r="C178" s="8"/>
      <c r="D178" s="8"/>
      <c r="E178" s="11"/>
      <c r="F178" s="8"/>
      <c r="G178" s="8"/>
      <c r="H178" s="6" t="str">
        <f aca="false">IF(A178="","",YEAR(A178))</f>
        <v/>
      </c>
      <c r="I178" s="6" t="str">
        <f aca="false">IF(A178="","",MONTH(A178))</f>
        <v/>
      </c>
    </row>
    <row r="179" customFormat="false" ht="15" hidden="false" customHeight="false" outlineLevel="0" collapsed="false">
      <c r="A179" s="7"/>
      <c r="B179" s="8"/>
      <c r="C179" s="8"/>
      <c r="D179" s="8"/>
      <c r="E179" s="11"/>
      <c r="F179" s="8"/>
      <c r="G179" s="8"/>
      <c r="H179" s="6" t="str">
        <f aca="false">IF(A179="","",YEAR(A179))</f>
        <v/>
      </c>
      <c r="I179" s="6" t="str">
        <f aca="false">IF(A179="","",MONTH(A179))</f>
        <v/>
      </c>
    </row>
    <row r="180" customFormat="false" ht="15" hidden="false" customHeight="false" outlineLevel="0" collapsed="false">
      <c r="A180" s="7"/>
      <c r="B180" s="8"/>
      <c r="C180" s="8"/>
      <c r="D180" s="8"/>
      <c r="E180" s="11"/>
      <c r="F180" s="8"/>
      <c r="G180" s="8"/>
      <c r="H180" s="6" t="str">
        <f aca="false">IF(A180="","",YEAR(A180))</f>
        <v/>
      </c>
      <c r="I180" s="6" t="str">
        <f aca="false">IF(A180="","",MONTH(A180))</f>
        <v/>
      </c>
    </row>
    <row r="181" customFormat="false" ht="15" hidden="false" customHeight="false" outlineLevel="0" collapsed="false">
      <c r="A181" s="7"/>
      <c r="B181" s="8"/>
      <c r="C181" s="8"/>
      <c r="D181" s="8"/>
      <c r="E181" s="11"/>
      <c r="F181" s="8"/>
      <c r="G181" s="8"/>
      <c r="H181" s="6" t="str">
        <f aca="false">IF(A181="","",YEAR(A181))</f>
        <v/>
      </c>
      <c r="I181" s="6" t="str">
        <f aca="false">IF(A181="","",MONTH(A181))</f>
        <v/>
      </c>
    </row>
    <row r="182" customFormat="false" ht="15" hidden="false" customHeight="false" outlineLevel="0" collapsed="false">
      <c r="A182" s="7"/>
      <c r="B182" s="8"/>
      <c r="C182" s="8"/>
      <c r="D182" s="8"/>
      <c r="E182" s="11"/>
      <c r="F182" s="8"/>
      <c r="G182" s="8"/>
      <c r="H182" s="6" t="str">
        <f aca="false">IF(A182="","",YEAR(A182))</f>
        <v/>
      </c>
      <c r="I182" s="6" t="str">
        <f aca="false">IF(A182="","",MONTH(A182))</f>
        <v/>
      </c>
    </row>
    <row r="183" customFormat="false" ht="15" hidden="false" customHeight="false" outlineLevel="0" collapsed="false">
      <c r="A183" s="7"/>
      <c r="B183" s="8"/>
      <c r="C183" s="8"/>
      <c r="D183" s="8"/>
      <c r="E183" s="11"/>
      <c r="F183" s="8"/>
      <c r="G183" s="8"/>
      <c r="H183" s="6" t="str">
        <f aca="false">IF(A183="","",YEAR(A183))</f>
        <v/>
      </c>
      <c r="I183" s="6" t="str">
        <f aca="false">IF(A183="","",MONTH(A183))</f>
        <v/>
      </c>
    </row>
    <row r="184" customFormat="false" ht="15" hidden="false" customHeight="false" outlineLevel="0" collapsed="false">
      <c r="A184" s="7"/>
      <c r="B184" s="8"/>
      <c r="C184" s="8"/>
      <c r="D184" s="8"/>
      <c r="E184" s="11"/>
      <c r="F184" s="8"/>
      <c r="G184" s="8"/>
      <c r="H184" s="6" t="str">
        <f aca="false">IF(A184="","",YEAR(A184))</f>
        <v/>
      </c>
      <c r="I184" s="6" t="str">
        <f aca="false">IF(A184="","",MONTH(A184))</f>
        <v/>
      </c>
    </row>
    <row r="185" customFormat="false" ht="15" hidden="false" customHeight="false" outlineLevel="0" collapsed="false">
      <c r="A185" s="7"/>
      <c r="B185" s="8"/>
      <c r="C185" s="8"/>
      <c r="D185" s="8"/>
      <c r="E185" s="11"/>
      <c r="F185" s="8"/>
      <c r="G185" s="8"/>
      <c r="H185" s="6" t="str">
        <f aca="false">IF(A185="","",YEAR(A185))</f>
        <v/>
      </c>
      <c r="I185" s="6" t="str">
        <f aca="false">IF(A185="","",MONTH(A185))</f>
        <v/>
      </c>
    </row>
    <row r="186" customFormat="false" ht="15" hidden="false" customHeight="false" outlineLevel="0" collapsed="false">
      <c r="A186" s="7"/>
      <c r="B186" s="8"/>
      <c r="C186" s="8"/>
      <c r="D186" s="8"/>
      <c r="E186" s="11"/>
      <c r="F186" s="8"/>
      <c r="G186" s="8"/>
      <c r="H186" s="6" t="str">
        <f aca="false">IF(A186="","",YEAR(A186))</f>
        <v/>
      </c>
      <c r="I186" s="6" t="str">
        <f aca="false">IF(A186="","",MONTH(A186))</f>
        <v/>
      </c>
    </row>
    <row r="187" customFormat="false" ht="15" hidden="false" customHeight="false" outlineLevel="0" collapsed="false">
      <c r="A187" s="7"/>
      <c r="B187" s="8"/>
      <c r="C187" s="8"/>
      <c r="D187" s="8"/>
      <c r="E187" s="11"/>
      <c r="F187" s="8"/>
      <c r="G187" s="8"/>
      <c r="H187" s="6" t="str">
        <f aca="false">IF(A187="","",YEAR(A187))</f>
        <v/>
      </c>
      <c r="I187" s="6" t="str">
        <f aca="false">IF(A187="","",MONTH(A187))</f>
        <v/>
      </c>
    </row>
    <row r="188" customFormat="false" ht="15" hidden="false" customHeight="false" outlineLevel="0" collapsed="false">
      <c r="A188" s="7"/>
      <c r="B188" s="8"/>
      <c r="C188" s="8"/>
      <c r="D188" s="8"/>
      <c r="E188" s="11"/>
      <c r="F188" s="8"/>
      <c r="G188" s="8"/>
      <c r="H188" s="6" t="str">
        <f aca="false">IF(A188="","",YEAR(A188))</f>
        <v/>
      </c>
      <c r="I188" s="6" t="str">
        <f aca="false">IF(A188="","",MONTH(A188))</f>
        <v/>
      </c>
    </row>
    <row r="189" customFormat="false" ht="15" hidden="false" customHeight="false" outlineLevel="0" collapsed="false">
      <c r="A189" s="7"/>
      <c r="B189" s="8"/>
      <c r="C189" s="8"/>
      <c r="D189" s="8"/>
      <c r="E189" s="11"/>
      <c r="F189" s="8"/>
      <c r="G189" s="8"/>
      <c r="H189" s="6" t="str">
        <f aca="false">IF(A189="","",YEAR(A189))</f>
        <v/>
      </c>
      <c r="I189" s="6" t="str">
        <f aca="false">IF(A189="","",MONTH(A189))</f>
        <v/>
      </c>
    </row>
    <row r="190" customFormat="false" ht="15" hidden="false" customHeight="false" outlineLevel="0" collapsed="false">
      <c r="A190" s="7"/>
      <c r="B190" s="8"/>
      <c r="C190" s="8"/>
      <c r="D190" s="8"/>
      <c r="E190" s="11"/>
      <c r="F190" s="8"/>
      <c r="G190" s="8"/>
      <c r="H190" s="6" t="str">
        <f aca="false">IF(A190="","",YEAR(A190))</f>
        <v/>
      </c>
      <c r="I190" s="6" t="str">
        <f aca="false">IF(A190="","",MONTH(A190))</f>
        <v/>
      </c>
    </row>
    <row r="191" customFormat="false" ht="15" hidden="false" customHeight="false" outlineLevel="0" collapsed="false">
      <c r="A191" s="7"/>
      <c r="B191" s="8"/>
      <c r="C191" s="8"/>
      <c r="D191" s="8"/>
      <c r="E191" s="11"/>
      <c r="F191" s="8"/>
      <c r="G191" s="8"/>
      <c r="H191" s="6" t="str">
        <f aca="false">IF(A191="","",YEAR(A191))</f>
        <v/>
      </c>
      <c r="I191" s="6" t="str">
        <f aca="false">IF(A191="","",MONTH(A191))</f>
        <v/>
      </c>
    </row>
    <row r="192" customFormat="false" ht="15" hidden="false" customHeight="false" outlineLevel="0" collapsed="false">
      <c r="A192" s="7"/>
      <c r="B192" s="8"/>
      <c r="C192" s="8"/>
      <c r="D192" s="8"/>
      <c r="E192" s="11"/>
      <c r="F192" s="8"/>
      <c r="G192" s="8"/>
      <c r="H192" s="6" t="str">
        <f aca="false">IF(A192="","",YEAR(A192))</f>
        <v/>
      </c>
      <c r="I192" s="6" t="str">
        <f aca="false">IF(A192="","",MONTH(A192))</f>
        <v/>
      </c>
    </row>
    <row r="193" customFormat="false" ht="15" hidden="false" customHeight="false" outlineLevel="0" collapsed="false">
      <c r="A193" s="7"/>
      <c r="B193" s="8"/>
      <c r="C193" s="8"/>
      <c r="D193" s="8"/>
      <c r="E193" s="11"/>
      <c r="F193" s="8"/>
      <c r="G193" s="8"/>
      <c r="H193" s="6" t="str">
        <f aca="false">IF(A193="","",YEAR(A193))</f>
        <v/>
      </c>
      <c r="I193" s="6" t="str">
        <f aca="false">IF(A193="","",MONTH(A193))</f>
        <v/>
      </c>
    </row>
    <row r="194" customFormat="false" ht="15" hidden="false" customHeight="false" outlineLevel="0" collapsed="false">
      <c r="A194" s="7"/>
      <c r="B194" s="8"/>
      <c r="C194" s="8"/>
      <c r="D194" s="8"/>
      <c r="E194" s="11"/>
      <c r="F194" s="8"/>
      <c r="G194" s="8"/>
      <c r="H194" s="6" t="str">
        <f aca="false">IF(A194="","",YEAR(A194))</f>
        <v/>
      </c>
      <c r="I194" s="6" t="str">
        <f aca="false">IF(A194="","",MONTH(A194))</f>
        <v/>
      </c>
    </row>
    <row r="195" customFormat="false" ht="15" hidden="false" customHeight="false" outlineLevel="0" collapsed="false">
      <c r="A195" s="7"/>
      <c r="B195" s="8"/>
      <c r="C195" s="8"/>
      <c r="D195" s="8"/>
      <c r="E195" s="11"/>
      <c r="F195" s="8"/>
      <c r="G195" s="8"/>
      <c r="H195" s="6" t="str">
        <f aca="false">IF(A195="","",YEAR(A195))</f>
        <v/>
      </c>
      <c r="I195" s="6" t="str">
        <f aca="false">IF(A195="","",MONTH(A195))</f>
        <v/>
      </c>
    </row>
    <row r="196" customFormat="false" ht="15" hidden="false" customHeight="false" outlineLevel="0" collapsed="false">
      <c r="A196" s="7"/>
      <c r="B196" s="8"/>
      <c r="C196" s="8"/>
      <c r="D196" s="8"/>
      <c r="E196" s="11"/>
      <c r="F196" s="8"/>
      <c r="G196" s="8"/>
      <c r="H196" s="6" t="str">
        <f aca="false">IF(A196="","",YEAR(A196))</f>
        <v/>
      </c>
      <c r="I196" s="6" t="str">
        <f aca="false">IF(A196="","",MONTH(A196))</f>
        <v/>
      </c>
    </row>
    <row r="197" customFormat="false" ht="15" hidden="false" customHeight="false" outlineLevel="0" collapsed="false">
      <c r="A197" s="7"/>
      <c r="B197" s="8"/>
      <c r="C197" s="8"/>
      <c r="D197" s="8"/>
      <c r="E197" s="11"/>
      <c r="F197" s="8"/>
      <c r="G197" s="8"/>
      <c r="H197" s="6" t="str">
        <f aca="false">IF(A197="","",YEAR(A197))</f>
        <v/>
      </c>
      <c r="I197" s="6" t="str">
        <f aca="false">IF(A197="","",MONTH(A197))</f>
        <v/>
      </c>
    </row>
    <row r="198" customFormat="false" ht="15" hidden="false" customHeight="false" outlineLevel="0" collapsed="false">
      <c r="A198" s="7"/>
      <c r="B198" s="8"/>
      <c r="C198" s="8"/>
      <c r="D198" s="8"/>
      <c r="E198" s="11"/>
      <c r="F198" s="8"/>
      <c r="G198" s="8"/>
      <c r="H198" s="6" t="str">
        <f aca="false">IF(A198="","",YEAR(A198))</f>
        <v/>
      </c>
      <c r="I198" s="6" t="str">
        <f aca="false">IF(A198="","",MONTH(A198))</f>
        <v/>
      </c>
    </row>
    <row r="199" customFormat="false" ht="15" hidden="false" customHeight="false" outlineLevel="0" collapsed="false">
      <c r="A199" s="7"/>
      <c r="B199" s="8"/>
      <c r="C199" s="8"/>
      <c r="D199" s="8"/>
      <c r="E199" s="11"/>
      <c r="F199" s="8"/>
      <c r="G199" s="8"/>
      <c r="H199" s="6" t="str">
        <f aca="false">IF(A199="","",YEAR(A199))</f>
        <v/>
      </c>
      <c r="I199" s="6" t="str">
        <f aca="false">IF(A199="","",MONTH(A199))</f>
        <v/>
      </c>
    </row>
    <row r="200" customFormat="false" ht="15" hidden="false" customHeight="false" outlineLevel="0" collapsed="false">
      <c r="A200" s="7"/>
      <c r="B200" s="8"/>
      <c r="C200" s="8"/>
      <c r="D200" s="8"/>
      <c r="E200" s="11"/>
      <c r="F200" s="8"/>
      <c r="G200" s="8"/>
      <c r="H200" s="6" t="str">
        <f aca="false">IF(A200="","",YEAR(A200))</f>
        <v/>
      </c>
      <c r="I200" s="6" t="str">
        <f aca="false">IF(A200="","",MONTH(A200))</f>
        <v/>
      </c>
    </row>
    <row r="201" customFormat="false" ht="15" hidden="false" customHeight="false" outlineLevel="0" collapsed="false">
      <c r="A201" s="7"/>
      <c r="B201" s="8"/>
      <c r="C201" s="8"/>
      <c r="D201" s="8"/>
      <c r="E201" s="11"/>
      <c r="F201" s="8"/>
      <c r="G201" s="8"/>
      <c r="H201" s="6" t="str">
        <f aca="false">IF(A201="","",YEAR(A201))</f>
        <v/>
      </c>
      <c r="I201" s="6" t="str">
        <f aca="false">IF(A201="","",MONTH(A201))</f>
        <v/>
      </c>
    </row>
    <row r="202" customFormat="false" ht="15" hidden="false" customHeight="false" outlineLevel="0" collapsed="false">
      <c r="A202" s="7"/>
      <c r="B202" s="8"/>
      <c r="C202" s="8"/>
      <c r="D202" s="8"/>
      <c r="E202" s="11"/>
      <c r="F202" s="8"/>
      <c r="G202" s="8"/>
      <c r="H202" s="6" t="str">
        <f aca="false">IF(A202="","",YEAR(A202))</f>
        <v/>
      </c>
      <c r="I202" s="6" t="str">
        <f aca="false">IF(A202="","",MONTH(A202))</f>
        <v/>
      </c>
    </row>
    <row r="203" customFormat="false" ht="15" hidden="false" customHeight="false" outlineLevel="0" collapsed="false">
      <c r="A203" s="7"/>
      <c r="B203" s="8"/>
      <c r="C203" s="8"/>
      <c r="D203" s="8"/>
      <c r="E203" s="11"/>
      <c r="F203" s="8"/>
      <c r="G203" s="8"/>
      <c r="H203" s="6" t="str">
        <f aca="false">IF(A203="","",YEAR(A203))</f>
        <v/>
      </c>
      <c r="I203" s="6" t="str">
        <f aca="false">IF(A203="","",MONTH(A203))</f>
        <v/>
      </c>
    </row>
    <row r="204" customFormat="false" ht="15" hidden="false" customHeight="false" outlineLevel="0" collapsed="false">
      <c r="A204" s="7"/>
      <c r="B204" s="8"/>
      <c r="C204" s="8"/>
      <c r="D204" s="8"/>
      <c r="E204" s="11"/>
      <c r="F204" s="8"/>
      <c r="G204" s="8"/>
      <c r="H204" s="6" t="str">
        <f aca="false">IF(A204="","",YEAR(A204))</f>
        <v/>
      </c>
      <c r="I204" s="6" t="str">
        <f aca="false">IF(A204="","",MONTH(A204))</f>
        <v/>
      </c>
    </row>
    <row r="205" customFormat="false" ht="15" hidden="false" customHeight="false" outlineLevel="0" collapsed="false">
      <c r="A205" s="7"/>
      <c r="B205" s="8"/>
      <c r="C205" s="8"/>
      <c r="D205" s="8"/>
      <c r="E205" s="11"/>
      <c r="F205" s="8"/>
      <c r="G205" s="8"/>
      <c r="H205" s="6" t="str">
        <f aca="false">IF(A205="","",YEAR(A205))</f>
        <v/>
      </c>
      <c r="I205" s="6" t="str">
        <f aca="false">IF(A205="","",MONTH(A205))</f>
        <v/>
      </c>
    </row>
    <row r="206" customFormat="false" ht="15" hidden="false" customHeight="false" outlineLevel="0" collapsed="false">
      <c r="A206" s="7"/>
      <c r="B206" s="8"/>
      <c r="C206" s="8"/>
      <c r="D206" s="8"/>
      <c r="E206" s="11"/>
      <c r="F206" s="8"/>
      <c r="G206" s="8"/>
      <c r="H206" s="6" t="str">
        <f aca="false">IF(A206="","",YEAR(A206))</f>
        <v/>
      </c>
      <c r="I206" s="6" t="str">
        <f aca="false">IF(A206="","",MONTH(A206))</f>
        <v/>
      </c>
    </row>
    <row r="207" customFormat="false" ht="15" hidden="false" customHeight="false" outlineLevel="0" collapsed="false">
      <c r="A207" s="7"/>
      <c r="B207" s="8"/>
      <c r="C207" s="8"/>
      <c r="D207" s="8"/>
      <c r="E207" s="11"/>
      <c r="F207" s="8"/>
      <c r="G207" s="8"/>
      <c r="H207" s="6" t="str">
        <f aca="false">IF(A207="","",YEAR(A207))</f>
        <v/>
      </c>
      <c r="I207" s="6" t="str">
        <f aca="false">IF(A207="","",MONTH(A207))</f>
        <v/>
      </c>
    </row>
    <row r="208" customFormat="false" ht="15" hidden="false" customHeight="false" outlineLevel="0" collapsed="false">
      <c r="A208" s="7"/>
      <c r="B208" s="8"/>
      <c r="C208" s="8"/>
      <c r="D208" s="8"/>
      <c r="E208" s="11"/>
      <c r="F208" s="8"/>
      <c r="G208" s="8"/>
      <c r="H208" s="6" t="str">
        <f aca="false">IF(A208="","",YEAR(A208))</f>
        <v/>
      </c>
      <c r="I208" s="6" t="str">
        <f aca="false">IF(A208="","",MONTH(A208))</f>
        <v/>
      </c>
    </row>
    <row r="209" customFormat="false" ht="15" hidden="false" customHeight="false" outlineLevel="0" collapsed="false">
      <c r="A209" s="7"/>
      <c r="B209" s="8"/>
      <c r="C209" s="8"/>
      <c r="D209" s="8"/>
      <c r="E209" s="11"/>
      <c r="F209" s="8"/>
      <c r="G209" s="8"/>
      <c r="H209" s="6" t="str">
        <f aca="false">IF(A209="","",YEAR(A209))</f>
        <v/>
      </c>
      <c r="I209" s="6" t="str">
        <f aca="false">IF(A209="","",MONTH(A209))</f>
        <v/>
      </c>
    </row>
    <row r="210" customFormat="false" ht="15" hidden="false" customHeight="false" outlineLevel="0" collapsed="false">
      <c r="A210" s="7"/>
      <c r="B210" s="8"/>
      <c r="C210" s="8"/>
      <c r="D210" s="8"/>
      <c r="E210" s="11"/>
      <c r="F210" s="8"/>
      <c r="G210" s="8"/>
      <c r="H210" s="6" t="str">
        <f aca="false">IF(A210="","",YEAR(A210))</f>
        <v/>
      </c>
      <c r="I210" s="6" t="str">
        <f aca="false">IF(A210="","",MONTH(A210))</f>
        <v/>
      </c>
    </row>
    <row r="211" customFormat="false" ht="15" hidden="false" customHeight="false" outlineLevel="0" collapsed="false">
      <c r="A211" s="7"/>
      <c r="B211" s="8"/>
      <c r="C211" s="8"/>
      <c r="D211" s="8"/>
      <c r="E211" s="11"/>
      <c r="F211" s="8"/>
      <c r="G211" s="8"/>
      <c r="H211" s="6" t="str">
        <f aca="false">IF(A211="","",YEAR(A211))</f>
        <v/>
      </c>
      <c r="I211" s="6" t="str">
        <f aca="false">IF(A211="","",MONTH(A211))</f>
        <v/>
      </c>
    </row>
    <row r="212" customFormat="false" ht="15" hidden="false" customHeight="false" outlineLevel="0" collapsed="false">
      <c r="A212" s="7"/>
      <c r="B212" s="8"/>
      <c r="C212" s="8"/>
      <c r="D212" s="8"/>
      <c r="E212" s="11"/>
      <c r="F212" s="8"/>
      <c r="G212" s="8"/>
      <c r="H212" s="6" t="str">
        <f aca="false">IF(A212="","",YEAR(A212))</f>
        <v/>
      </c>
      <c r="I212" s="6" t="str">
        <f aca="false">IF(A212="","",MONTH(A212))</f>
        <v/>
      </c>
    </row>
    <row r="213" customFormat="false" ht="15" hidden="false" customHeight="false" outlineLevel="0" collapsed="false">
      <c r="A213" s="7"/>
      <c r="B213" s="8"/>
      <c r="C213" s="8"/>
      <c r="D213" s="8"/>
      <c r="E213" s="11"/>
      <c r="F213" s="8"/>
      <c r="G213" s="8"/>
      <c r="H213" s="6" t="str">
        <f aca="false">IF(A213="","",YEAR(A213))</f>
        <v/>
      </c>
      <c r="I213" s="6" t="str">
        <f aca="false">IF(A213="","",MONTH(A213))</f>
        <v/>
      </c>
    </row>
    <row r="214" customFormat="false" ht="15" hidden="false" customHeight="false" outlineLevel="0" collapsed="false">
      <c r="A214" s="7"/>
      <c r="B214" s="8"/>
      <c r="C214" s="8"/>
      <c r="D214" s="8"/>
      <c r="E214" s="11"/>
      <c r="F214" s="8"/>
      <c r="G214" s="8"/>
      <c r="H214" s="6" t="str">
        <f aca="false">IF(A214="","",YEAR(A214))</f>
        <v/>
      </c>
      <c r="I214" s="6" t="str">
        <f aca="false">IF(A214="","",MONTH(A214))</f>
        <v/>
      </c>
    </row>
    <row r="215" customFormat="false" ht="15" hidden="false" customHeight="false" outlineLevel="0" collapsed="false">
      <c r="A215" s="7"/>
      <c r="B215" s="8"/>
      <c r="C215" s="8"/>
      <c r="D215" s="8"/>
      <c r="E215" s="11"/>
      <c r="F215" s="8"/>
      <c r="G215" s="8"/>
      <c r="H215" s="6" t="str">
        <f aca="false">IF(A215="","",YEAR(A215))</f>
        <v/>
      </c>
      <c r="I215" s="6" t="str">
        <f aca="false">IF(A215="","",MONTH(A215))</f>
        <v/>
      </c>
    </row>
    <row r="216" customFormat="false" ht="15" hidden="false" customHeight="false" outlineLevel="0" collapsed="false">
      <c r="A216" s="7"/>
      <c r="B216" s="8"/>
      <c r="C216" s="8"/>
      <c r="D216" s="8"/>
      <c r="E216" s="11"/>
      <c r="F216" s="8"/>
      <c r="G216" s="8"/>
      <c r="H216" s="6" t="str">
        <f aca="false">IF(A216="","",YEAR(A216))</f>
        <v/>
      </c>
      <c r="I216" s="6" t="str">
        <f aca="false">IF(A216="","",MONTH(A216))</f>
        <v/>
      </c>
    </row>
    <row r="217" customFormat="false" ht="15" hidden="false" customHeight="false" outlineLevel="0" collapsed="false">
      <c r="A217" s="7"/>
      <c r="B217" s="8"/>
      <c r="C217" s="8"/>
      <c r="D217" s="8"/>
      <c r="E217" s="11"/>
      <c r="F217" s="8"/>
      <c r="G217" s="8"/>
      <c r="H217" s="6" t="str">
        <f aca="false">IF(A217="","",YEAR(A217))</f>
        <v/>
      </c>
      <c r="I217" s="6" t="str">
        <f aca="false">IF(A217="","",MONTH(A217))</f>
        <v/>
      </c>
    </row>
    <row r="218" customFormat="false" ht="15" hidden="false" customHeight="false" outlineLevel="0" collapsed="false">
      <c r="A218" s="7"/>
      <c r="B218" s="8"/>
      <c r="C218" s="8"/>
      <c r="D218" s="8"/>
      <c r="E218" s="11"/>
      <c r="F218" s="8"/>
      <c r="G218" s="8"/>
      <c r="H218" s="6" t="str">
        <f aca="false">IF(A218="","",YEAR(A218))</f>
        <v/>
      </c>
      <c r="I218" s="6" t="str">
        <f aca="false">IF(A218="","",MONTH(A218))</f>
        <v/>
      </c>
    </row>
    <row r="219" customFormat="false" ht="15" hidden="false" customHeight="false" outlineLevel="0" collapsed="false">
      <c r="A219" s="7"/>
      <c r="B219" s="8"/>
      <c r="C219" s="8"/>
      <c r="D219" s="8"/>
      <c r="E219" s="11"/>
      <c r="F219" s="8"/>
      <c r="G219" s="8"/>
      <c r="H219" s="6" t="str">
        <f aca="false">IF(A219="","",YEAR(A219))</f>
        <v/>
      </c>
      <c r="I219" s="6" t="str">
        <f aca="false">IF(A219="","",MONTH(A219))</f>
        <v/>
      </c>
    </row>
    <row r="220" customFormat="false" ht="15" hidden="false" customHeight="false" outlineLevel="0" collapsed="false">
      <c r="A220" s="7"/>
      <c r="B220" s="8"/>
      <c r="C220" s="8"/>
      <c r="D220" s="8"/>
      <c r="E220" s="11"/>
      <c r="F220" s="8"/>
      <c r="G220" s="8"/>
      <c r="H220" s="6" t="str">
        <f aca="false">IF(A220="","",YEAR(A220))</f>
        <v/>
      </c>
      <c r="I220" s="6" t="str">
        <f aca="false">IF(A220="","",MONTH(A220))</f>
        <v/>
      </c>
    </row>
    <row r="221" customFormat="false" ht="15" hidden="false" customHeight="false" outlineLevel="0" collapsed="false">
      <c r="A221" s="7"/>
      <c r="B221" s="8"/>
      <c r="C221" s="8"/>
      <c r="D221" s="8"/>
      <c r="E221" s="11"/>
      <c r="F221" s="8"/>
      <c r="G221" s="8"/>
      <c r="H221" s="6" t="str">
        <f aca="false">IF(A221="","",YEAR(A221))</f>
        <v/>
      </c>
      <c r="I221" s="6" t="str">
        <f aca="false">IF(A221="","",MONTH(A221))</f>
        <v/>
      </c>
    </row>
    <row r="222" customFormat="false" ht="15" hidden="false" customHeight="false" outlineLevel="0" collapsed="false">
      <c r="A222" s="7"/>
      <c r="B222" s="8"/>
      <c r="C222" s="8"/>
      <c r="D222" s="8"/>
      <c r="E222" s="11"/>
      <c r="F222" s="8"/>
      <c r="G222" s="8"/>
      <c r="H222" s="6" t="str">
        <f aca="false">IF(A222="","",YEAR(A222))</f>
        <v/>
      </c>
      <c r="I222" s="6" t="str">
        <f aca="false">IF(A222="","",MONTH(A222))</f>
        <v/>
      </c>
    </row>
    <row r="223" customFormat="false" ht="15" hidden="false" customHeight="false" outlineLevel="0" collapsed="false">
      <c r="A223" s="7"/>
      <c r="B223" s="8"/>
      <c r="C223" s="8"/>
      <c r="D223" s="8"/>
      <c r="E223" s="11"/>
      <c r="F223" s="8"/>
      <c r="G223" s="8"/>
      <c r="H223" s="6" t="str">
        <f aca="false">IF(A223="","",YEAR(A223))</f>
        <v/>
      </c>
      <c r="I223" s="6" t="str">
        <f aca="false">IF(A223="","",MONTH(A223))</f>
        <v/>
      </c>
    </row>
    <row r="224" customFormat="false" ht="15" hidden="false" customHeight="false" outlineLevel="0" collapsed="false">
      <c r="A224" s="7"/>
      <c r="B224" s="8"/>
      <c r="C224" s="8"/>
      <c r="D224" s="8"/>
      <c r="E224" s="11"/>
      <c r="F224" s="8"/>
      <c r="G224" s="8"/>
      <c r="H224" s="6" t="str">
        <f aca="false">IF(A224="","",YEAR(A224))</f>
        <v/>
      </c>
      <c r="I224" s="6" t="str">
        <f aca="false">IF(A224="","",MONTH(A224))</f>
        <v/>
      </c>
    </row>
    <row r="225" customFormat="false" ht="15" hidden="false" customHeight="false" outlineLevel="0" collapsed="false">
      <c r="A225" s="7"/>
      <c r="B225" s="8"/>
      <c r="C225" s="8"/>
      <c r="D225" s="8"/>
      <c r="E225" s="11"/>
      <c r="F225" s="8"/>
      <c r="G225" s="8"/>
      <c r="H225" s="6" t="str">
        <f aca="false">IF(A225="","",YEAR(A225))</f>
        <v/>
      </c>
      <c r="I225" s="6" t="str">
        <f aca="false">IF(A225="","",MONTH(A225))</f>
        <v/>
      </c>
    </row>
    <row r="226" customFormat="false" ht="15" hidden="false" customHeight="false" outlineLevel="0" collapsed="false">
      <c r="A226" s="7"/>
      <c r="B226" s="8"/>
      <c r="C226" s="8"/>
      <c r="D226" s="8"/>
      <c r="E226" s="11"/>
      <c r="F226" s="8"/>
      <c r="G226" s="8"/>
      <c r="H226" s="6" t="str">
        <f aca="false">IF(A226="","",YEAR(A226))</f>
        <v/>
      </c>
      <c r="I226" s="6" t="str">
        <f aca="false">IF(A226="","",MONTH(A226))</f>
        <v/>
      </c>
    </row>
    <row r="227" customFormat="false" ht="15" hidden="false" customHeight="false" outlineLevel="0" collapsed="false">
      <c r="A227" s="7"/>
      <c r="B227" s="8"/>
      <c r="C227" s="8"/>
      <c r="D227" s="8"/>
      <c r="E227" s="11"/>
      <c r="F227" s="8"/>
      <c r="G227" s="8"/>
      <c r="H227" s="6" t="str">
        <f aca="false">IF(A227="","",YEAR(A227))</f>
        <v/>
      </c>
      <c r="I227" s="6" t="str">
        <f aca="false">IF(A227="","",MONTH(A227))</f>
        <v/>
      </c>
    </row>
    <row r="228" customFormat="false" ht="15" hidden="false" customHeight="false" outlineLevel="0" collapsed="false">
      <c r="A228" s="7"/>
      <c r="B228" s="8"/>
      <c r="C228" s="8"/>
      <c r="D228" s="8"/>
      <c r="E228" s="11"/>
      <c r="F228" s="8"/>
      <c r="G228" s="8"/>
      <c r="H228" s="6" t="str">
        <f aca="false">IF(A228="","",YEAR(A228))</f>
        <v/>
      </c>
      <c r="I228" s="6" t="str">
        <f aca="false">IF(A228="","",MONTH(A228))</f>
        <v/>
      </c>
    </row>
    <row r="229" customFormat="false" ht="15" hidden="false" customHeight="false" outlineLevel="0" collapsed="false">
      <c r="A229" s="7"/>
      <c r="B229" s="8"/>
      <c r="C229" s="8"/>
      <c r="D229" s="8"/>
      <c r="E229" s="11"/>
      <c r="F229" s="8"/>
      <c r="G229" s="8"/>
      <c r="H229" s="6" t="str">
        <f aca="false">IF(A229="","",YEAR(A229))</f>
        <v/>
      </c>
      <c r="I229" s="6" t="str">
        <f aca="false">IF(A229="","",MONTH(A229))</f>
        <v/>
      </c>
    </row>
    <row r="230" customFormat="false" ht="15" hidden="false" customHeight="false" outlineLevel="0" collapsed="false">
      <c r="A230" s="7"/>
      <c r="B230" s="8"/>
      <c r="C230" s="8"/>
      <c r="D230" s="8"/>
      <c r="E230" s="11"/>
      <c r="F230" s="8"/>
      <c r="G230" s="8"/>
      <c r="H230" s="6" t="str">
        <f aca="false">IF(A230="","",YEAR(A230))</f>
        <v/>
      </c>
      <c r="I230" s="6" t="str">
        <f aca="false">IF(A230="","",MONTH(A230))</f>
        <v/>
      </c>
    </row>
    <row r="231" customFormat="false" ht="15" hidden="false" customHeight="false" outlineLevel="0" collapsed="false">
      <c r="A231" s="7"/>
      <c r="B231" s="8"/>
      <c r="C231" s="8"/>
      <c r="D231" s="8"/>
      <c r="E231" s="11"/>
      <c r="F231" s="8"/>
      <c r="G231" s="8"/>
      <c r="H231" s="6" t="str">
        <f aca="false">IF(A231="","",YEAR(A231))</f>
        <v/>
      </c>
      <c r="I231" s="6" t="str">
        <f aca="false">IF(A231="","",MONTH(A231))</f>
        <v/>
      </c>
    </row>
    <row r="232" customFormat="false" ht="15" hidden="false" customHeight="false" outlineLevel="0" collapsed="false">
      <c r="A232" s="7"/>
      <c r="B232" s="8"/>
      <c r="C232" s="8"/>
      <c r="D232" s="8"/>
      <c r="E232" s="11"/>
      <c r="F232" s="8"/>
      <c r="G232" s="8"/>
      <c r="H232" s="6" t="str">
        <f aca="false">IF(A232="","",YEAR(A232))</f>
        <v/>
      </c>
      <c r="I232" s="6" t="str">
        <f aca="false">IF(A232="","",MONTH(A232))</f>
        <v/>
      </c>
    </row>
    <row r="233" customFormat="false" ht="15" hidden="false" customHeight="false" outlineLevel="0" collapsed="false">
      <c r="A233" s="7"/>
      <c r="B233" s="8"/>
      <c r="C233" s="8"/>
      <c r="D233" s="8"/>
      <c r="E233" s="11"/>
      <c r="F233" s="8"/>
      <c r="G233" s="8"/>
      <c r="H233" s="6" t="str">
        <f aca="false">IF(A233="","",YEAR(A233))</f>
        <v/>
      </c>
      <c r="I233" s="6" t="str">
        <f aca="false">IF(A233="","",MONTH(A233))</f>
        <v/>
      </c>
    </row>
    <row r="234" customFormat="false" ht="15" hidden="false" customHeight="false" outlineLevel="0" collapsed="false">
      <c r="A234" s="7"/>
      <c r="B234" s="8"/>
      <c r="C234" s="8"/>
      <c r="D234" s="8"/>
      <c r="E234" s="11"/>
      <c r="F234" s="8"/>
      <c r="G234" s="8"/>
      <c r="H234" s="6" t="str">
        <f aca="false">IF(A234="","",YEAR(A234))</f>
        <v/>
      </c>
      <c r="I234" s="6" t="str">
        <f aca="false">IF(A234="","",MONTH(A234))</f>
        <v/>
      </c>
    </row>
    <row r="235" customFormat="false" ht="15" hidden="false" customHeight="false" outlineLevel="0" collapsed="false">
      <c r="A235" s="7"/>
      <c r="B235" s="8"/>
      <c r="C235" s="8"/>
      <c r="D235" s="8"/>
      <c r="E235" s="11"/>
      <c r="F235" s="8"/>
      <c r="G235" s="8"/>
      <c r="H235" s="6" t="str">
        <f aca="false">IF(A235="","",YEAR(A235))</f>
        <v/>
      </c>
      <c r="I235" s="6" t="str">
        <f aca="false">IF(A235="","",MONTH(A235))</f>
        <v/>
      </c>
    </row>
    <row r="236" customFormat="false" ht="15" hidden="false" customHeight="false" outlineLevel="0" collapsed="false">
      <c r="A236" s="7"/>
      <c r="B236" s="8"/>
      <c r="C236" s="8"/>
      <c r="D236" s="8"/>
      <c r="E236" s="11"/>
      <c r="F236" s="8"/>
      <c r="G236" s="8"/>
      <c r="H236" s="6" t="str">
        <f aca="false">IF(A236="","",YEAR(A236))</f>
        <v/>
      </c>
      <c r="I236" s="6" t="str">
        <f aca="false">IF(A236="","",MONTH(A236))</f>
        <v/>
      </c>
    </row>
    <row r="237" customFormat="false" ht="15" hidden="false" customHeight="false" outlineLevel="0" collapsed="false">
      <c r="A237" s="7"/>
      <c r="B237" s="8"/>
      <c r="C237" s="8"/>
      <c r="D237" s="8"/>
      <c r="E237" s="11"/>
      <c r="F237" s="8"/>
      <c r="G237" s="8"/>
      <c r="H237" s="6" t="str">
        <f aca="false">IF(A237="","",YEAR(A237))</f>
        <v/>
      </c>
      <c r="I237" s="6" t="str">
        <f aca="false">IF(A237="","",MONTH(A237))</f>
        <v/>
      </c>
    </row>
    <row r="238" customFormat="false" ht="15" hidden="false" customHeight="false" outlineLevel="0" collapsed="false">
      <c r="A238" s="7"/>
      <c r="B238" s="8"/>
      <c r="C238" s="8"/>
      <c r="D238" s="8"/>
      <c r="E238" s="11"/>
      <c r="F238" s="8"/>
      <c r="G238" s="8"/>
      <c r="H238" s="6" t="str">
        <f aca="false">IF(A238="","",YEAR(A238))</f>
        <v/>
      </c>
      <c r="I238" s="6" t="str">
        <f aca="false">IF(A238="","",MONTH(A238))</f>
        <v/>
      </c>
    </row>
    <row r="239" customFormat="false" ht="15" hidden="false" customHeight="false" outlineLevel="0" collapsed="false">
      <c r="A239" s="7"/>
      <c r="B239" s="8"/>
      <c r="C239" s="8"/>
      <c r="D239" s="8"/>
      <c r="E239" s="11"/>
      <c r="F239" s="8"/>
      <c r="G239" s="8"/>
      <c r="H239" s="6" t="str">
        <f aca="false">IF(A239="","",YEAR(A239))</f>
        <v/>
      </c>
      <c r="I239" s="6" t="str">
        <f aca="false">IF(A239="","",MONTH(A239))</f>
        <v/>
      </c>
    </row>
    <row r="240" customFormat="false" ht="15" hidden="false" customHeight="false" outlineLevel="0" collapsed="false">
      <c r="A240" s="7"/>
      <c r="B240" s="8"/>
      <c r="C240" s="8"/>
      <c r="D240" s="8"/>
      <c r="E240" s="11"/>
      <c r="F240" s="8"/>
      <c r="G240" s="8"/>
      <c r="H240" s="6" t="str">
        <f aca="false">IF(A240="","",YEAR(A240))</f>
        <v/>
      </c>
      <c r="I240" s="6" t="str">
        <f aca="false">IF(A240="","",MONTH(A240))</f>
        <v/>
      </c>
    </row>
    <row r="241" customFormat="false" ht="15" hidden="false" customHeight="false" outlineLevel="0" collapsed="false">
      <c r="A241" s="7"/>
      <c r="B241" s="8"/>
      <c r="C241" s="8"/>
      <c r="D241" s="8"/>
      <c r="E241" s="11"/>
      <c r="F241" s="8"/>
      <c r="G241" s="8"/>
      <c r="H241" s="6" t="str">
        <f aca="false">IF(A241="","",YEAR(A241))</f>
        <v/>
      </c>
      <c r="I241" s="6" t="str">
        <f aca="false">IF(A241="","",MONTH(A241))</f>
        <v/>
      </c>
    </row>
    <row r="242" customFormat="false" ht="15" hidden="false" customHeight="false" outlineLevel="0" collapsed="false">
      <c r="A242" s="7"/>
      <c r="B242" s="8"/>
      <c r="C242" s="8"/>
      <c r="D242" s="8"/>
      <c r="E242" s="11"/>
      <c r="F242" s="8"/>
      <c r="G242" s="8"/>
      <c r="H242" s="6" t="str">
        <f aca="false">IF(A242="","",YEAR(A242))</f>
        <v/>
      </c>
      <c r="I242" s="6" t="str">
        <f aca="false">IF(A242="","",MONTH(A242))</f>
        <v/>
      </c>
    </row>
    <row r="243" customFormat="false" ht="15" hidden="false" customHeight="false" outlineLevel="0" collapsed="false">
      <c r="A243" s="7"/>
      <c r="B243" s="8"/>
      <c r="C243" s="8"/>
      <c r="D243" s="8"/>
      <c r="E243" s="11"/>
      <c r="F243" s="8"/>
      <c r="G243" s="8"/>
      <c r="H243" s="6" t="str">
        <f aca="false">IF(A243="","",YEAR(A243))</f>
        <v/>
      </c>
      <c r="I243" s="6" t="str">
        <f aca="false">IF(A243="","",MONTH(A243))</f>
        <v/>
      </c>
    </row>
    <row r="244" customFormat="false" ht="15" hidden="false" customHeight="false" outlineLevel="0" collapsed="false">
      <c r="A244" s="7"/>
      <c r="B244" s="8"/>
      <c r="C244" s="8"/>
      <c r="D244" s="8"/>
      <c r="E244" s="11"/>
      <c r="F244" s="8"/>
      <c r="G244" s="8"/>
      <c r="H244" s="6" t="str">
        <f aca="false">IF(A244="","",YEAR(A244))</f>
        <v/>
      </c>
      <c r="I244" s="6" t="str">
        <f aca="false">IF(A244="","",MONTH(A244))</f>
        <v/>
      </c>
    </row>
    <row r="245" customFormat="false" ht="15" hidden="false" customHeight="false" outlineLevel="0" collapsed="false">
      <c r="A245" s="7"/>
      <c r="B245" s="8"/>
      <c r="C245" s="8"/>
      <c r="D245" s="8"/>
      <c r="E245" s="11"/>
      <c r="F245" s="8"/>
      <c r="G245" s="8"/>
      <c r="H245" s="6" t="str">
        <f aca="false">IF(A245="","",YEAR(A245))</f>
        <v/>
      </c>
      <c r="I245" s="6" t="str">
        <f aca="false">IF(A245="","",MONTH(A245))</f>
        <v/>
      </c>
    </row>
    <row r="246" customFormat="false" ht="15" hidden="false" customHeight="false" outlineLevel="0" collapsed="false">
      <c r="A246" s="7"/>
      <c r="B246" s="8"/>
      <c r="C246" s="8"/>
      <c r="D246" s="8"/>
      <c r="E246" s="11"/>
      <c r="F246" s="8"/>
      <c r="G246" s="8"/>
      <c r="H246" s="6" t="str">
        <f aca="false">IF(A246="","",YEAR(A246))</f>
        <v/>
      </c>
      <c r="I246" s="6" t="str">
        <f aca="false">IF(A246="","",MONTH(A246))</f>
        <v/>
      </c>
    </row>
    <row r="247" customFormat="false" ht="15" hidden="false" customHeight="false" outlineLevel="0" collapsed="false">
      <c r="A247" s="7"/>
      <c r="B247" s="8"/>
      <c r="C247" s="8"/>
      <c r="D247" s="8"/>
      <c r="E247" s="11"/>
      <c r="F247" s="8"/>
      <c r="G247" s="8"/>
      <c r="H247" s="6" t="str">
        <f aca="false">IF(A247="","",YEAR(A247))</f>
        <v/>
      </c>
      <c r="I247" s="6" t="str">
        <f aca="false">IF(A247="","",MONTH(A247))</f>
        <v/>
      </c>
    </row>
    <row r="248" customFormat="false" ht="15" hidden="false" customHeight="false" outlineLevel="0" collapsed="false">
      <c r="A248" s="7"/>
      <c r="B248" s="8"/>
      <c r="C248" s="8"/>
      <c r="D248" s="8"/>
      <c r="E248" s="11"/>
      <c r="F248" s="8"/>
      <c r="G248" s="8"/>
      <c r="H248" s="6" t="str">
        <f aca="false">IF(A248="","",YEAR(A248))</f>
        <v/>
      </c>
      <c r="I248" s="6" t="str">
        <f aca="false">IF(A248="","",MONTH(A248))</f>
        <v/>
      </c>
    </row>
    <row r="249" customFormat="false" ht="15" hidden="false" customHeight="false" outlineLevel="0" collapsed="false">
      <c r="A249" s="7"/>
      <c r="B249" s="8"/>
      <c r="C249" s="8"/>
      <c r="D249" s="8"/>
      <c r="E249" s="11"/>
      <c r="F249" s="8"/>
      <c r="G249" s="8"/>
      <c r="H249" s="6" t="str">
        <f aca="false">IF(A249="","",YEAR(A249))</f>
        <v/>
      </c>
      <c r="I249" s="6" t="str">
        <f aca="false">IF(A249="","",MONTH(A249))</f>
        <v/>
      </c>
    </row>
    <row r="250" customFormat="false" ht="15" hidden="false" customHeight="false" outlineLevel="0" collapsed="false">
      <c r="A250" s="7"/>
      <c r="B250" s="8"/>
      <c r="C250" s="8"/>
      <c r="D250" s="8"/>
      <c r="E250" s="11"/>
      <c r="F250" s="8"/>
      <c r="G250" s="8"/>
      <c r="H250" s="6" t="str">
        <f aca="false">IF(A250="","",YEAR(A250))</f>
        <v/>
      </c>
      <c r="I250" s="6" t="str">
        <f aca="false">IF(A250="","",MONTH(A250))</f>
        <v/>
      </c>
    </row>
    <row r="251" customFormat="false" ht="15" hidden="false" customHeight="false" outlineLevel="0" collapsed="false">
      <c r="A251" s="7"/>
      <c r="B251" s="8"/>
      <c r="C251" s="8"/>
      <c r="D251" s="8"/>
      <c r="E251" s="11"/>
      <c r="F251" s="8"/>
      <c r="G251" s="8"/>
      <c r="H251" s="6" t="str">
        <f aca="false">IF(A251="","",YEAR(A251))</f>
        <v/>
      </c>
      <c r="I251" s="6" t="str">
        <f aca="false">IF(A251="","",MONTH(A251))</f>
        <v/>
      </c>
    </row>
    <row r="252" customFormat="false" ht="15" hidden="false" customHeight="false" outlineLevel="0" collapsed="false">
      <c r="A252" s="7"/>
      <c r="B252" s="8"/>
      <c r="C252" s="8"/>
      <c r="D252" s="8"/>
      <c r="E252" s="11"/>
      <c r="F252" s="8"/>
      <c r="G252" s="8"/>
      <c r="H252" s="6" t="str">
        <f aca="false">IF(A252="","",YEAR(A252))</f>
        <v/>
      </c>
      <c r="I252" s="6" t="str">
        <f aca="false">IF(A252="","",MONTH(A252))</f>
        <v/>
      </c>
    </row>
    <row r="253" customFormat="false" ht="15" hidden="false" customHeight="false" outlineLevel="0" collapsed="false">
      <c r="A253" s="7"/>
      <c r="B253" s="8"/>
      <c r="C253" s="8"/>
      <c r="D253" s="8"/>
      <c r="E253" s="11"/>
      <c r="F253" s="8"/>
      <c r="G253" s="8"/>
      <c r="H253" s="6" t="str">
        <f aca="false">IF(A253="","",YEAR(A253))</f>
        <v/>
      </c>
      <c r="I253" s="6" t="str">
        <f aca="false">IF(A253="","",MONTH(A253))</f>
        <v/>
      </c>
    </row>
    <row r="254" customFormat="false" ht="15" hidden="false" customHeight="false" outlineLevel="0" collapsed="false">
      <c r="A254" s="7"/>
      <c r="B254" s="8"/>
      <c r="C254" s="8"/>
      <c r="D254" s="8"/>
      <c r="E254" s="11"/>
      <c r="F254" s="8"/>
      <c r="G254" s="8"/>
      <c r="H254" s="6" t="str">
        <f aca="false">IF(A254="","",YEAR(A254))</f>
        <v/>
      </c>
      <c r="I254" s="6" t="str">
        <f aca="false">IF(A254="","",MONTH(A254))</f>
        <v/>
      </c>
    </row>
    <row r="255" customFormat="false" ht="15" hidden="false" customHeight="false" outlineLevel="0" collapsed="false">
      <c r="A255" s="7"/>
      <c r="B255" s="8"/>
      <c r="C255" s="8"/>
      <c r="D255" s="8"/>
      <c r="E255" s="11"/>
      <c r="F255" s="8"/>
      <c r="G255" s="8"/>
      <c r="H255" s="6" t="str">
        <f aca="false">IF(A255="","",YEAR(A255))</f>
        <v/>
      </c>
      <c r="I255" s="6" t="str">
        <f aca="false">IF(A255="","",MONTH(A255))</f>
        <v/>
      </c>
    </row>
    <row r="256" customFormat="false" ht="15" hidden="false" customHeight="false" outlineLevel="0" collapsed="false">
      <c r="A256" s="7"/>
      <c r="B256" s="8"/>
      <c r="C256" s="8"/>
      <c r="D256" s="8"/>
      <c r="E256" s="11"/>
      <c r="F256" s="8"/>
      <c r="G256" s="8"/>
      <c r="H256" s="6" t="str">
        <f aca="false">IF(A256="","",YEAR(A256))</f>
        <v/>
      </c>
      <c r="I256" s="6" t="str">
        <f aca="false">IF(A256="","",MONTH(A256))</f>
        <v/>
      </c>
    </row>
    <row r="257" customFormat="false" ht="15" hidden="false" customHeight="false" outlineLevel="0" collapsed="false">
      <c r="A257" s="7"/>
      <c r="B257" s="8"/>
      <c r="C257" s="8"/>
      <c r="D257" s="8"/>
      <c r="E257" s="11"/>
      <c r="F257" s="8"/>
      <c r="G257" s="8"/>
      <c r="H257" s="6" t="str">
        <f aca="false">IF(A257="","",YEAR(A257))</f>
        <v/>
      </c>
      <c r="I257" s="6" t="str">
        <f aca="false">IF(A257="","",MONTH(A257))</f>
        <v/>
      </c>
    </row>
    <row r="258" customFormat="false" ht="15" hidden="false" customHeight="false" outlineLevel="0" collapsed="false">
      <c r="A258" s="7"/>
      <c r="B258" s="8"/>
      <c r="C258" s="8"/>
      <c r="D258" s="8"/>
      <c r="E258" s="11"/>
      <c r="F258" s="8"/>
      <c r="G258" s="8"/>
      <c r="H258" s="6" t="str">
        <f aca="false">IF(A258="","",YEAR(A258))</f>
        <v/>
      </c>
      <c r="I258" s="6" t="str">
        <f aca="false">IF(A258="","",MONTH(A258))</f>
        <v/>
      </c>
    </row>
    <row r="259" customFormat="false" ht="15" hidden="false" customHeight="false" outlineLevel="0" collapsed="false">
      <c r="A259" s="7"/>
      <c r="B259" s="8"/>
      <c r="C259" s="8"/>
      <c r="D259" s="8"/>
      <c r="E259" s="11"/>
      <c r="F259" s="8"/>
      <c r="G259" s="8"/>
      <c r="H259" s="6" t="str">
        <f aca="false">IF(A259="","",YEAR(A259))</f>
        <v/>
      </c>
      <c r="I259" s="6" t="str">
        <f aca="false">IF(A259="","",MONTH(A259))</f>
        <v/>
      </c>
    </row>
    <row r="260" customFormat="false" ht="15" hidden="false" customHeight="false" outlineLevel="0" collapsed="false">
      <c r="A260" s="7"/>
      <c r="B260" s="8"/>
      <c r="C260" s="8"/>
      <c r="D260" s="8"/>
      <c r="E260" s="11"/>
      <c r="F260" s="8"/>
      <c r="G260" s="8"/>
      <c r="H260" s="6" t="str">
        <f aca="false">IF(A260="","",YEAR(A260))</f>
        <v/>
      </c>
      <c r="I260" s="6" t="str">
        <f aca="false">IF(A260="","",MONTH(A260))</f>
        <v/>
      </c>
    </row>
    <row r="261" customFormat="false" ht="15" hidden="false" customHeight="false" outlineLevel="0" collapsed="false">
      <c r="A261" s="7"/>
      <c r="B261" s="8"/>
      <c r="C261" s="8"/>
      <c r="D261" s="8"/>
      <c r="E261" s="11"/>
      <c r="F261" s="8"/>
      <c r="G261" s="8"/>
      <c r="H261" s="6" t="str">
        <f aca="false">IF(A261="","",YEAR(A261))</f>
        <v/>
      </c>
      <c r="I261" s="6" t="str">
        <f aca="false">IF(A261="","",MONTH(A261))</f>
        <v/>
      </c>
    </row>
    <row r="262" customFormat="false" ht="15" hidden="false" customHeight="false" outlineLevel="0" collapsed="false">
      <c r="A262" s="7"/>
      <c r="B262" s="8"/>
      <c r="C262" s="8"/>
      <c r="D262" s="8"/>
      <c r="E262" s="11"/>
      <c r="F262" s="8"/>
      <c r="G262" s="8"/>
      <c r="H262" s="6" t="str">
        <f aca="false">IF(A262="","",YEAR(A262))</f>
        <v/>
      </c>
      <c r="I262" s="6" t="str">
        <f aca="false">IF(A262="","",MONTH(A262))</f>
        <v/>
      </c>
    </row>
    <row r="263" customFormat="false" ht="15" hidden="false" customHeight="false" outlineLevel="0" collapsed="false">
      <c r="A263" s="7"/>
      <c r="B263" s="8"/>
      <c r="C263" s="8"/>
      <c r="D263" s="8"/>
      <c r="E263" s="11"/>
      <c r="F263" s="8"/>
      <c r="G263" s="8"/>
      <c r="H263" s="6" t="str">
        <f aca="false">IF(A263="","",YEAR(A263))</f>
        <v/>
      </c>
      <c r="I263" s="6" t="str">
        <f aca="false">IF(A263="","",MONTH(A263))</f>
        <v/>
      </c>
    </row>
    <row r="264" customFormat="false" ht="15" hidden="false" customHeight="false" outlineLevel="0" collapsed="false">
      <c r="A264" s="7"/>
      <c r="B264" s="8"/>
      <c r="C264" s="8"/>
      <c r="D264" s="8"/>
      <c r="E264" s="11"/>
      <c r="F264" s="8"/>
      <c r="G264" s="8"/>
      <c r="H264" s="6" t="str">
        <f aca="false">IF(A264="","",YEAR(A264))</f>
        <v/>
      </c>
      <c r="I264" s="6" t="str">
        <f aca="false">IF(A264="","",MONTH(A264))</f>
        <v/>
      </c>
    </row>
    <row r="265" customFormat="false" ht="15" hidden="false" customHeight="false" outlineLevel="0" collapsed="false">
      <c r="A265" s="7"/>
      <c r="B265" s="8"/>
      <c r="C265" s="8"/>
      <c r="D265" s="8"/>
      <c r="E265" s="11"/>
      <c r="F265" s="8"/>
      <c r="G265" s="8"/>
      <c r="H265" s="6" t="str">
        <f aca="false">IF(A265="","",YEAR(A265))</f>
        <v/>
      </c>
      <c r="I265" s="6" t="str">
        <f aca="false">IF(A265="","",MONTH(A265))</f>
        <v/>
      </c>
    </row>
    <row r="266" customFormat="false" ht="15" hidden="false" customHeight="false" outlineLevel="0" collapsed="false">
      <c r="A266" s="7"/>
      <c r="B266" s="8"/>
      <c r="C266" s="8"/>
      <c r="D266" s="8"/>
      <c r="E266" s="11"/>
      <c r="F266" s="8"/>
      <c r="G266" s="8"/>
      <c r="H266" s="6" t="str">
        <f aca="false">IF(A266="","",YEAR(A266))</f>
        <v/>
      </c>
      <c r="I266" s="6" t="str">
        <f aca="false">IF(A266="","",MONTH(A266))</f>
        <v/>
      </c>
    </row>
    <row r="267" customFormat="false" ht="15" hidden="false" customHeight="false" outlineLevel="0" collapsed="false">
      <c r="A267" s="7"/>
      <c r="B267" s="8"/>
      <c r="C267" s="8"/>
      <c r="D267" s="8"/>
      <c r="E267" s="11"/>
      <c r="F267" s="8"/>
      <c r="G267" s="8"/>
      <c r="H267" s="6" t="str">
        <f aca="false">IF(A267="","",YEAR(A267))</f>
        <v/>
      </c>
      <c r="I267" s="6" t="str">
        <f aca="false">IF(A267="","",MONTH(A267))</f>
        <v/>
      </c>
    </row>
    <row r="268" customFormat="false" ht="15" hidden="false" customHeight="false" outlineLevel="0" collapsed="false">
      <c r="A268" s="7"/>
      <c r="B268" s="8"/>
      <c r="C268" s="8"/>
      <c r="D268" s="8"/>
      <c r="E268" s="11"/>
      <c r="F268" s="8"/>
      <c r="G268" s="8"/>
      <c r="H268" s="6" t="str">
        <f aca="false">IF(A268="","",YEAR(A268))</f>
        <v/>
      </c>
      <c r="I268" s="6" t="str">
        <f aca="false">IF(A268="","",MONTH(A268))</f>
        <v/>
      </c>
    </row>
    <row r="269" customFormat="false" ht="15" hidden="false" customHeight="false" outlineLevel="0" collapsed="false">
      <c r="A269" s="7"/>
      <c r="B269" s="8"/>
      <c r="C269" s="8"/>
      <c r="D269" s="8"/>
      <c r="E269" s="11"/>
      <c r="F269" s="8"/>
      <c r="G269" s="8"/>
      <c r="H269" s="6" t="str">
        <f aca="false">IF(A269="","",YEAR(A269))</f>
        <v/>
      </c>
      <c r="I269" s="6" t="str">
        <f aca="false">IF(A269="","",MONTH(A269))</f>
        <v/>
      </c>
    </row>
    <row r="270" customFormat="false" ht="15" hidden="false" customHeight="false" outlineLevel="0" collapsed="false">
      <c r="A270" s="7"/>
      <c r="B270" s="8"/>
      <c r="C270" s="8"/>
      <c r="D270" s="8"/>
      <c r="E270" s="11"/>
      <c r="F270" s="8"/>
      <c r="G270" s="8"/>
      <c r="H270" s="6" t="str">
        <f aca="false">IF(A270="","",YEAR(A270))</f>
        <v/>
      </c>
      <c r="I270" s="6" t="str">
        <f aca="false">IF(A270="","",MONTH(A270))</f>
        <v/>
      </c>
    </row>
    <row r="271" customFormat="false" ht="15" hidden="false" customHeight="false" outlineLevel="0" collapsed="false">
      <c r="A271" s="7"/>
      <c r="B271" s="8"/>
      <c r="C271" s="8"/>
      <c r="D271" s="8"/>
      <c r="E271" s="11"/>
      <c r="F271" s="8"/>
      <c r="G271" s="8"/>
      <c r="H271" s="6" t="str">
        <f aca="false">IF(A271="","",YEAR(A271))</f>
        <v/>
      </c>
      <c r="I271" s="6" t="str">
        <f aca="false">IF(A271="","",MONTH(A271))</f>
        <v/>
      </c>
    </row>
    <row r="272" customFormat="false" ht="15" hidden="false" customHeight="false" outlineLevel="0" collapsed="false">
      <c r="A272" s="7"/>
      <c r="B272" s="8"/>
      <c r="C272" s="8"/>
      <c r="D272" s="8"/>
      <c r="E272" s="11"/>
      <c r="F272" s="8"/>
      <c r="G272" s="8"/>
      <c r="H272" s="6" t="str">
        <f aca="false">IF(A272="","",YEAR(A272))</f>
        <v/>
      </c>
      <c r="I272" s="6" t="str">
        <f aca="false">IF(A272="","",MONTH(A272))</f>
        <v/>
      </c>
    </row>
    <row r="273" customFormat="false" ht="15" hidden="false" customHeight="false" outlineLevel="0" collapsed="false">
      <c r="A273" s="7"/>
      <c r="B273" s="8"/>
      <c r="C273" s="8"/>
      <c r="D273" s="8"/>
      <c r="E273" s="11"/>
      <c r="F273" s="8"/>
      <c r="G273" s="8"/>
      <c r="H273" s="6" t="str">
        <f aca="false">IF(A273="","",YEAR(A273))</f>
        <v/>
      </c>
      <c r="I273" s="6" t="str">
        <f aca="false">IF(A273="","",MONTH(A273))</f>
        <v/>
      </c>
    </row>
    <row r="274" customFormat="false" ht="15" hidden="false" customHeight="false" outlineLevel="0" collapsed="false">
      <c r="A274" s="7"/>
      <c r="B274" s="8"/>
      <c r="C274" s="8"/>
      <c r="D274" s="8"/>
      <c r="E274" s="11"/>
      <c r="F274" s="8"/>
      <c r="G274" s="8"/>
      <c r="H274" s="6" t="str">
        <f aca="false">IF(A274="","",YEAR(A274))</f>
        <v/>
      </c>
      <c r="I274" s="6" t="str">
        <f aca="false">IF(A274="","",MONTH(A274))</f>
        <v/>
      </c>
    </row>
    <row r="275" customFormat="false" ht="15" hidden="false" customHeight="false" outlineLevel="0" collapsed="false">
      <c r="A275" s="7"/>
      <c r="B275" s="8"/>
      <c r="C275" s="8"/>
      <c r="D275" s="8"/>
      <c r="E275" s="11"/>
      <c r="F275" s="8"/>
      <c r="G275" s="8"/>
      <c r="H275" s="6" t="str">
        <f aca="false">IF(A275="","",YEAR(A275))</f>
        <v/>
      </c>
      <c r="I275" s="6" t="str">
        <f aca="false">IF(A275="","",MONTH(A275))</f>
        <v/>
      </c>
    </row>
    <row r="276" customFormat="false" ht="15" hidden="false" customHeight="false" outlineLevel="0" collapsed="false">
      <c r="A276" s="7"/>
      <c r="B276" s="8"/>
      <c r="C276" s="8"/>
      <c r="D276" s="8"/>
      <c r="E276" s="11"/>
      <c r="F276" s="8"/>
      <c r="G276" s="8"/>
      <c r="H276" s="6" t="str">
        <f aca="false">IF(A276="","",YEAR(A276))</f>
        <v/>
      </c>
      <c r="I276" s="6" t="str">
        <f aca="false">IF(A276="","",MONTH(A276))</f>
        <v/>
      </c>
    </row>
    <row r="277" customFormat="false" ht="15" hidden="false" customHeight="false" outlineLevel="0" collapsed="false">
      <c r="A277" s="7"/>
      <c r="B277" s="8"/>
      <c r="C277" s="8"/>
      <c r="D277" s="8"/>
      <c r="E277" s="11"/>
      <c r="F277" s="8"/>
      <c r="G277" s="8"/>
      <c r="H277" s="6" t="str">
        <f aca="false">IF(A277="","",YEAR(A277))</f>
        <v/>
      </c>
      <c r="I277" s="6" t="str">
        <f aca="false">IF(A277="","",MONTH(A277))</f>
        <v/>
      </c>
    </row>
    <row r="278" customFormat="false" ht="15" hidden="false" customHeight="false" outlineLevel="0" collapsed="false">
      <c r="A278" s="7"/>
      <c r="B278" s="8"/>
      <c r="C278" s="8"/>
      <c r="D278" s="8"/>
      <c r="E278" s="11"/>
      <c r="F278" s="8"/>
      <c r="G278" s="8"/>
      <c r="H278" s="6" t="str">
        <f aca="false">IF(A278="","",YEAR(A278))</f>
        <v/>
      </c>
      <c r="I278" s="6" t="str">
        <f aca="false">IF(A278="","",MONTH(A278))</f>
        <v/>
      </c>
    </row>
    <row r="279" customFormat="false" ht="15" hidden="false" customHeight="false" outlineLevel="0" collapsed="false">
      <c r="A279" s="7"/>
      <c r="B279" s="8"/>
      <c r="C279" s="8"/>
      <c r="D279" s="8"/>
      <c r="E279" s="11"/>
      <c r="F279" s="8"/>
      <c r="G279" s="8"/>
      <c r="H279" s="6" t="str">
        <f aca="false">IF(A279="","",YEAR(A279))</f>
        <v/>
      </c>
      <c r="I279" s="6" t="str">
        <f aca="false">IF(A279="","",MONTH(A279))</f>
        <v/>
      </c>
    </row>
    <row r="280" customFormat="false" ht="15" hidden="false" customHeight="false" outlineLevel="0" collapsed="false">
      <c r="A280" s="7"/>
      <c r="B280" s="8"/>
      <c r="C280" s="8"/>
      <c r="D280" s="8"/>
      <c r="E280" s="11"/>
      <c r="F280" s="8"/>
      <c r="G280" s="8"/>
      <c r="H280" s="6" t="str">
        <f aca="false">IF(A280="","",YEAR(A280))</f>
        <v/>
      </c>
      <c r="I280" s="6" t="str">
        <f aca="false">IF(A280="","",MONTH(A280))</f>
        <v/>
      </c>
    </row>
    <row r="281" customFormat="false" ht="15" hidden="false" customHeight="false" outlineLevel="0" collapsed="false">
      <c r="A281" s="7"/>
      <c r="B281" s="8"/>
      <c r="C281" s="8"/>
      <c r="D281" s="8"/>
      <c r="E281" s="11"/>
      <c r="F281" s="8"/>
      <c r="G281" s="8"/>
      <c r="H281" s="6" t="str">
        <f aca="false">IF(A281="","",YEAR(A281))</f>
        <v/>
      </c>
      <c r="I281" s="6" t="str">
        <f aca="false">IF(A281="","",MONTH(A281))</f>
        <v/>
      </c>
    </row>
    <row r="282" customFormat="false" ht="15" hidden="false" customHeight="false" outlineLevel="0" collapsed="false">
      <c r="A282" s="7"/>
      <c r="B282" s="8"/>
      <c r="C282" s="8"/>
      <c r="D282" s="8"/>
      <c r="E282" s="11"/>
      <c r="F282" s="8"/>
      <c r="G282" s="8"/>
      <c r="H282" s="6" t="str">
        <f aca="false">IF(A282="","",YEAR(A282))</f>
        <v/>
      </c>
      <c r="I282" s="6" t="str">
        <f aca="false">IF(A282="","",MONTH(A282))</f>
        <v/>
      </c>
    </row>
    <row r="283" customFormat="false" ht="15" hidden="false" customHeight="false" outlineLevel="0" collapsed="false">
      <c r="A283" s="7"/>
      <c r="B283" s="8"/>
      <c r="C283" s="8"/>
      <c r="D283" s="8"/>
      <c r="E283" s="11"/>
      <c r="F283" s="8"/>
      <c r="G283" s="8"/>
      <c r="H283" s="6" t="str">
        <f aca="false">IF(A283="","",YEAR(A283))</f>
        <v/>
      </c>
      <c r="I283" s="6" t="str">
        <f aca="false">IF(A283="","",MONTH(A283))</f>
        <v/>
      </c>
    </row>
    <row r="284" customFormat="false" ht="15" hidden="false" customHeight="false" outlineLevel="0" collapsed="false">
      <c r="A284" s="7"/>
      <c r="B284" s="8"/>
      <c r="C284" s="8"/>
      <c r="D284" s="8"/>
      <c r="E284" s="11"/>
      <c r="F284" s="8"/>
      <c r="G284" s="8"/>
      <c r="H284" s="6" t="str">
        <f aca="false">IF(A284="","",YEAR(A284))</f>
        <v/>
      </c>
      <c r="I284" s="6" t="str">
        <f aca="false">IF(A284="","",MONTH(A284))</f>
        <v/>
      </c>
    </row>
    <row r="285" customFormat="false" ht="15" hidden="false" customHeight="false" outlineLevel="0" collapsed="false">
      <c r="A285" s="7"/>
      <c r="B285" s="8"/>
      <c r="C285" s="8"/>
      <c r="D285" s="8"/>
      <c r="E285" s="11"/>
      <c r="F285" s="8"/>
      <c r="G285" s="8"/>
      <c r="H285" s="6" t="str">
        <f aca="false">IF(A285="","",YEAR(A285))</f>
        <v/>
      </c>
      <c r="I285" s="6" t="str">
        <f aca="false">IF(A285="","",MONTH(A285))</f>
        <v/>
      </c>
    </row>
    <row r="286" customFormat="false" ht="15" hidden="false" customHeight="false" outlineLevel="0" collapsed="false">
      <c r="A286" s="7"/>
      <c r="B286" s="8"/>
      <c r="C286" s="8"/>
      <c r="D286" s="8"/>
      <c r="E286" s="11"/>
      <c r="F286" s="8"/>
      <c r="G286" s="8"/>
      <c r="H286" s="6" t="str">
        <f aca="false">IF(A286="","",YEAR(A286))</f>
        <v/>
      </c>
      <c r="I286" s="6" t="str">
        <f aca="false">IF(A286="","",MONTH(A286))</f>
        <v/>
      </c>
    </row>
    <row r="287" customFormat="false" ht="15" hidden="false" customHeight="false" outlineLevel="0" collapsed="false">
      <c r="A287" s="7"/>
      <c r="B287" s="8"/>
      <c r="C287" s="8"/>
      <c r="D287" s="8"/>
      <c r="E287" s="11"/>
      <c r="F287" s="8"/>
      <c r="G287" s="8"/>
      <c r="H287" s="6" t="str">
        <f aca="false">IF(A287="","",YEAR(A287))</f>
        <v/>
      </c>
      <c r="I287" s="6" t="str">
        <f aca="false">IF(A287="","",MONTH(A287))</f>
        <v/>
      </c>
    </row>
    <row r="288" customFormat="false" ht="15" hidden="false" customHeight="false" outlineLevel="0" collapsed="false">
      <c r="A288" s="7"/>
      <c r="B288" s="8"/>
      <c r="C288" s="8"/>
      <c r="D288" s="8"/>
      <c r="E288" s="11"/>
      <c r="F288" s="8"/>
      <c r="G288" s="8"/>
      <c r="H288" s="6" t="str">
        <f aca="false">IF(A288="","",YEAR(A288))</f>
        <v/>
      </c>
      <c r="I288" s="6" t="str">
        <f aca="false">IF(A288="","",MONTH(A288))</f>
        <v/>
      </c>
    </row>
    <row r="289" customFormat="false" ht="15" hidden="false" customHeight="false" outlineLevel="0" collapsed="false">
      <c r="A289" s="7"/>
      <c r="B289" s="8"/>
      <c r="C289" s="8"/>
      <c r="D289" s="8"/>
      <c r="E289" s="11"/>
      <c r="F289" s="8"/>
      <c r="G289" s="8"/>
      <c r="H289" s="6" t="str">
        <f aca="false">IF(A289="","",YEAR(A289))</f>
        <v/>
      </c>
      <c r="I289" s="6" t="str">
        <f aca="false">IF(A289="","",MONTH(A289))</f>
        <v/>
      </c>
    </row>
    <row r="290" customFormat="false" ht="15" hidden="false" customHeight="false" outlineLevel="0" collapsed="false">
      <c r="A290" s="7"/>
      <c r="B290" s="8"/>
      <c r="C290" s="8"/>
      <c r="D290" s="8"/>
      <c r="E290" s="11"/>
      <c r="F290" s="8"/>
      <c r="G290" s="8"/>
      <c r="H290" s="6" t="str">
        <f aca="false">IF(A290="","",YEAR(A290))</f>
        <v/>
      </c>
      <c r="I290" s="6" t="str">
        <f aca="false">IF(A290="","",MONTH(A290))</f>
        <v/>
      </c>
    </row>
    <row r="291" customFormat="false" ht="15" hidden="false" customHeight="false" outlineLevel="0" collapsed="false">
      <c r="A291" s="7"/>
      <c r="B291" s="8"/>
      <c r="C291" s="8"/>
      <c r="D291" s="8"/>
      <c r="E291" s="11"/>
      <c r="F291" s="8"/>
      <c r="G291" s="8"/>
      <c r="H291" s="6" t="str">
        <f aca="false">IF(A291="","",YEAR(A291))</f>
        <v/>
      </c>
      <c r="I291" s="6" t="str">
        <f aca="false">IF(A291="","",MONTH(A291))</f>
        <v/>
      </c>
    </row>
    <row r="292" customFormat="false" ht="15" hidden="false" customHeight="false" outlineLevel="0" collapsed="false">
      <c r="A292" s="7"/>
      <c r="B292" s="8"/>
      <c r="C292" s="8"/>
      <c r="D292" s="8"/>
      <c r="E292" s="11"/>
      <c r="F292" s="8"/>
      <c r="G292" s="8"/>
      <c r="H292" s="6" t="str">
        <f aca="false">IF(A292="","",YEAR(A292))</f>
        <v/>
      </c>
      <c r="I292" s="6" t="str">
        <f aca="false">IF(A292="","",MONTH(A292))</f>
        <v/>
      </c>
    </row>
    <row r="293" customFormat="false" ht="15" hidden="false" customHeight="false" outlineLevel="0" collapsed="false">
      <c r="A293" s="7"/>
      <c r="B293" s="8"/>
      <c r="C293" s="8"/>
      <c r="D293" s="8"/>
      <c r="E293" s="11"/>
      <c r="F293" s="8"/>
      <c r="G293" s="8"/>
      <c r="H293" s="6" t="str">
        <f aca="false">IF(A293="","",YEAR(A293))</f>
        <v/>
      </c>
      <c r="I293" s="6" t="str">
        <f aca="false">IF(A293="","",MONTH(A293))</f>
        <v/>
      </c>
    </row>
    <row r="294" customFormat="false" ht="15" hidden="false" customHeight="false" outlineLevel="0" collapsed="false">
      <c r="A294" s="7"/>
      <c r="B294" s="8"/>
      <c r="C294" s="8"/>
      <c r="D294" s="8"/>
      <c r="E294" s="11"/>
      <c r="F294" s="8"/>
      <c r="G294" s="8"/>
      <c r="H294" s="6" t="str">
        <f aca="false">IF(A294="","",YEAR(A294))</f>
        <v/>
      </c>
      <c r="I294" s="6" t="str">
        <f aca="false">IF(A294="","",MONTH(A294))</f>
        <v/>
      </c>
    </row>
    <row r="295" customFormat="false" ht="15" hidden="false" customHeight="false" outlineLevel="0" collapsed="false">
      <c r="A295" s="7"/>
      <c r="B295" s="8"/>
      <c r="C295" s="8"/>
      <c r="D295" s="8"/>
      <c r="E295" s="11"/>
      <c r="F295" s="8"/>
      <c r="G295" s="8"/>
      <c r="H295" s="6" t="str">
        <f aca="false">IF(A295="","",YEAR(A295))</f>
        <v/>
      </c>
      <c r="I295" s="6" t="str">
        <f aca="false">IF(A295="","",MONTH(A295))</f>
        <v/>
      </c>
    </row>
    <row r="296" customFormat="false" ht="15" hidden="false" customHeight="false" outlineLevel="0" collapsed="false">
      <c r="A296" s="7"/>
      <c r="B296" s="8"/>
      <c r="C296" s="8"/>
      <c r="D296" s="8"/>
      <c r="E296" s="11"/>
      <c r="F296" s="8"/>
      <c r="G296" s="8"/>
      <c r="H296" s="6" t="str">
        <f aca="false">IF(A296="","",YEAR(A296))</f>
        <v/>
      </c>
      <c r="I296" s="6" t="str">
        <f aca="false">IF(A296="","",MONTH(A296))</f>
        <v/>
      </c>
    </row>
    <row r="297" customFormat="false" ht="15" hidden="false" customHeight="false" outlineLevel="0" collapsed="false">
      <c r="A297" s="7"/>
      <c r="B297" s="8"/>
      <c r="C297" s="8"/>
      <c r="D297" s="8"/>
      <c r="E297" s="11"/>
      <c r="F297" s="8"/>
      <c r="G297" s="8"/>
      <c r="H297" s="6" t="str">
        <f aca="false">IF(A297="","",YEAR(A297))</f>
        <v/>
      </c>
      <c r="I297" s="6" t="str">
        <f aca="false">IF(A297="","",MONTH(A297))</f>
        <v/>
      </c>
    </row>
    <row r="298" customFormat="false" ht="15" hidden="false" customHeight="false" outlineLevel="0" collapsed="false">
      <c r="A298" s="7"/>
      <c r="B298" s="8"/>
      <c r="C298" s="8"/>
      <c r="D298" s="8"/>
      <c r="E298" s="11"/>
      <c r="F298" s="8"/>
      <c r="G298" s="8"/>
      <c r="H298" s="6" t="str">
        <f aca="false">IF(A298="","",YEAR(A298))</f>
        <v/>
      </c>
      <c r="I298" s="6" t="str">
        <f aca="false">IF(A298="","",MONTH(A298))</f>
        <v/>
      </c>
    </row>
    <row r="299" customFormat="false" ht="15" hidden="false" customHeight="false" outlineLevel="0" collapsed="false">
      <c r="A299" s="7"/>
      <c r="B299" s="8"/>
      <c r="C299" s="8"/>
      <c r="D299" s="8"/>
      <c r="E299" s="11"/>
      <c r="F299" s="8"/>
      <c r="G299" s="8"/>
      <c r="H299" s="6" t="str">
        <f aca="false">IF(A299="","",YEAR(A299))</f>
        <v/>
      </c>
      <c r="I299" s="6" t="str">
        <f aca="false">IF(A299="","",MONTH(A299))</f>
        <v/>
      </c>
    </row>
    <row r="300" customFormat="false" ht="15" hidden="false" customHeight="false" outlineLevel="0" collapsed="false">
      <c r="A300" s="7"/>
      <c r="B300" s="8"/>
      <c r="C300" s="8"/>
      <c r="D300" s="8"/>
      <c r="E300" s="11"/>
      <c r="F300" s="8"/>
      <c r="G300" s="8"/>
      <c r="H300" s="6" t="str">
        <f aca="false">IF(A300="","",YEAR(A300))</f>
        <v/>
      </c>
      <c r="I300" s="6" t="str">
        <f aca="false">IF(A300="","",MONTH(A300))</f>
        <v/>
      </c>
    </row>
    <row r="301" customFormat="false" ht="15" hidden="false" customHeight="false" outlineLevel="0" collapsed="false">
      <c r="A301" s="7"/>
      <c r="B301" s="8"/>
      <c r="C301" s="8"/>
      <c r="D301" s="8"/>
      <c r="E301" s="11"/>
      <c r="F301" s="8"/>
      <c r="G301" s="8"/>
      <c r="H301" s="6" t="str">
        <f aca="false">IF(A301="","",YEAR(A301))</f>
        <v/>
      </c>
      <c r="I301" s="6" t="str">
        <f aca="false">IF(A301="","",MONTH(A301))</f>
        <v/>
      </c>
    </row>
    <row r="302" customFormat="false" ht="15" hidden="false" customHeight="false" outlineLevel="0" collapsed="false">
      <c r="A302" s="7"/>
      <c r="B302" s="8"/>
      <c r="C302" s="8"/>
      <c r="D302" s="8"/>
      <c r="E302" s="11"/>
      <c r="F302" s="8"/>
      <c r="G302" s="8"/>
      <c r="H302" s="6" t="str">
        <f aca="false">IF(A302="","",YEAR(A302))</f>
        <v/>
      </c>
      <c r="I302" s="6" t="str">
        <f aca="false">IF(A302="","",MONTH(A302))</f>
        <v/>
      </c>
    </row>
    <row r="303" customFormat="false" ht="15" hidden="false" customHeight="false" outlineLevel="0" collapsed="false">
      <c r="A303" s="7"/>
      <c r="B303" s="8"/>
      <c r="C303" s="8"/>
      <c r="D303" s="8"/>
      <c r="E303" s="11"/>
      <c r="F303" s="8"/>
      <c r="G303" s="8"/>
      <c r="H303" s="6" t="str">
        <f aca="false">IF(A303="","",YEAR(A303))</f>
        <v/>
      </c>
      <c r="I303" s="6" t="str">
        <f aca="false">IF(A303="","",MONTH(A303))</f>
        <v/>
      </c>
    </row>
    <row r="304" customFormat="false" ht="15" hidden="false" customHeight="false" outlineLevel="0" collapsed="false">
      <c r="A304" s="7"/>
      <c r="B304" s="8"/>
      <c r="C304" s="8"/>
      <c r="D304" s="8"/>
      <c r="E304" s="11"/>
      <c r="F304" s="8"/>
      <c r="G304" s="8"/>
      <c r="H304" s="6" t="str">
        <f aca="false">IF(A304="","",YEAR(A304))</f>
        <v/>
      </c>
      <c r="I304" s="6" t="str">
        <f aca="false">IF(A304="","",MONTH(A304))</f>
        <v/>
      </c>
    </row>
    <row r="305" customFormat="false" ht="15" hidden="false" customHeight="false" outlineLevel="0" collapsed="false">
      <c r="A305" s="7"/>
      <c r="B305" s="8"/>
      <c r="C305" s="8"/>
      <c r="D305" s="8"/>
      <c r="E305" s="11"/>
      <c r="F305" s="8"/>
      <c r="G305" s="8"/>
      <c r="H305" s="6" t="str">
        <f aca="false">IF(A305="","",YEAR(A305))</f>
        <v/>
      </c>
      <c r="I305" s="6" t="str">
        <f aca="false">IF(A305="","",MONTH(A305))</f>
        <v/>
      </c>
    </row>
    <row r="306" customFormat="false" ht="15" hidden="false" customHeight="false" outlineLevel="0" collapsed="false">
      <c r="A306" s="7"/>
      <c r="B306" s="8"/>
      <c r="C306" s="8"/>
      <c r="D306" s="8"/>
      <c r="E306" s="11"/>
      <c r="F306" s="8"/>
      <c r="G306" s="8"/>
      <c r="H306" s="6" t="str">
        <f aca="false">IF(A306="","",YEAR(A306))</f>
        <v/>
      </c>
      <c r="I306" s="6" t="str">
        <f aca="false">IF(A306="","",MONTH(A306))</f>
        <v/>
      </c>
    </row>
    <row r="307" customFormat="false" ht="15" hidden="false" customHeight="false" outlineLevel="0" collapsed="false">
      <c r="A307" s="7"/>
      <c r="B307" s="8"/>
      <c r="C307" s="8"/>
      <c r="D307" s="8"/>
      <c r="E307" s="11"/>
      <c r="F307" s="8"/>
      <c r="G307" s="8"/>
      <c r="H307" s="6" t="str">
        <f aca="false">IF(A307="","",YEAR(A307))</f>
        <v/>
      </c>
      <c r="I307" s="6" t="str">
        <f aca="false">IF(A307="","",MONTH(A307))</f>
        <v/>
      </c>
    </row>
    <row r="308" customFormat="false" ht="15" hidden="false" customHeight="false" outlineLevel="0" collapsed="false">
      <c r="A308" s="7"/>
      <c r="B308" s="8"/>
      <c r="C308" s="8"/>
      <c r="D308" s="8"/>
      <c r="E308" s="11"/>
      <c r="F308" s="8"/>
      <c r="G308" s="8"/>
      <c r="H308" s="6" t="str">
        <f aca="false">IF(A308="","",YEAR(A308))</f>
        <v/>
      </c>
      <c r="I308" s="6" t="str">
        <f aca="false">IF(A308="","",MONTH(A308))</f>
        <v/>
      </c>
    </row>
    <row r="309" customFormat="false" ht="15" hidden="false" customHeight="false" outlineLevel="0" collapsed="false">
      <c r="A309" s="7"/>
      <c r="B309" s="8"/>
      <c r="C309" s="8"/>
      <c r="D309" s="8"/>
      <c r="E309" s="11"/>
      <c r="F309" s="8"/>
      <c r="G309" s="8"/>
      <c r="H309" s="6" t="str">
        <f aca="false">IF(A309="","",YEAR(A309))</f>
        <v/>
      </c>
      <c r="I309" s="6" t="str">
        <f aca="false">IF(A309="","",MONTH(A309))</f>
        <v/>
      </c>
    </row>
    <row r="310" customFormat="false" ht="15" hidden="false" customHeight="false" outlineLevel="0" collapsed="false">
      <c r="A310" s="7"/>
      <c r="B310" s="8"/>
      <c r="C310" s="8"/>
      <c r="D310" s="8"/>
      <c r="E310" s="11"/>
      <c r="F310" s="8"/>
      <c r="G310" s="8"/>
      <c r="H310" s="6" t="str">
        <f aca="false">IF(A310="","",YEAR(A310))</f>
        <v/>
      </c>
      <c r="I310" s="6" t="str">
        <f aca="false">IF(A310="","",MONTH(A310))</f>
        <v/>
      </c>
    </row>
    <row r="311" customFormat="false" ht="15" hidden="false" customHeight="false" outlineLevel="0" collapsed="false">
      <c r="A311" s="7"/>
      <c r="B311" s="8"/>
      <c r="C311" s="8"/>
      <c r="D311" s="8"/>
      <c r="E311" s="11"/>
      <c r="F311" s="8"/>
      <c r="G311" s="8"/>
      <c r="H311" s="6" t="str">
        <f aca="false">IF(A311="","",YEAR(A311))</f>
        <v/>
      </c>
      <c r="I311" s="6" t="str">
        <f aca="false">IF(A311="","",MONTH(A311))</f>
        <v/>
      </c>
    </row>
    <row r="312" customFormat="false" ht="15" hidden="false" customHeight="false" outlineLevel="0" collapsed="false">
      <c r="A312" s="7"/>
      <c r="B312" s="8"/>
      <c r="C312" s="8"/>
      <c r="D312" s="8"/>
      <c r="E312" s="11"/>
      <c r="F312" s="8"/>
      <c r="G312" s="8"/>
      <c r="H312" s="6" t="str">
        <f aca="false">IF(A312="","",YEAR(A312))</f>
        <v/>
      </c>
      <c r="I312" s="6" t="str">
        <f aca="false">IF(A312="","",MONTH(A312))</f>
        <v/>
      </c>
    </row>
    <row r="313" customFormat="false" ht="15" hidden="false" customHeight="false" outlineLevel="0" collapsed="false">
      <c r="A313" s="7"/>
      <c r="B313" s="8"/>
      <c r="C313" s="8"/>
      <c r="D313" s="8"/>
      <c r="E313" s="11"/>
      <c r="F313" s="8"/>
      <c r="G313" s="8"/>
      <c r="H313" s="6" t="str">
        <f aca="false">IF(A313="","",YEAR(A313))</f>
        <v/>
      </c>
      <c r="I313" s="6" t="str">
        <f aca="false">IF(A313="","",MONTH(A313))</f>
        <v/>
      </c>
    </row>
    <row r="314" customFormat="false" ht="15" hidden="false" customHeight="false" outlineLevel="0" collapsed="false">
      <c r="A314" s="7"/>
      <c r="B314" s="8"/>
      <c r="C314" s="8"/>
      <c r="D314" s="8"/>
      <c r="E314" s="11"/>
      <c r="F314" s="8"/>
      <c r="G314" s="8"/>
      <c r="H314" s="6" t="str">
        <f aca="false">IF(A314="","",YEAR(A314))</f>
        <v/>
      </c>
      <c r="I314" s="6" t="str">
        <f aca="false">IF(A314="","",MONTH(A314))</f>
        <v/>
      </c>
    </row>
    <row r="315" customFormat="false" ht="15" hidden="false" customHeight="false" outlineLevel="0" collapsed="false">
      <c r="A315" s="7"/>
      <c r="B315" s="8"/>
      <c r="C315" s="8"/>
      <c r="D315" s="8"/>
      <c r="E315" s="11"/>
      <c r="F315" s="8"/>
      <c r="G315" s="8"/>
      <c r="H315" s="6" t="str">
        <f aca="false">IF(A315="","",YEAR(A315))</f>
        <v/>
      </c>
      <c r="I315" s="6" t="str">
        <f aca="false">IF(A315="","",MONTH(A315))</f>
        <v/>
      </c>
    </row>
    <row r="316" customFormat="false" ht="15" hidden="false" customHeight="false" outlineLevel="0" collapsed="false">
      <c r="A316" s="7"/>
      <c r="B316" s="8"/>
      <c r="C316" s="8"/>
      <c r="D316" s="8"/>
      <c r="E316" s="11"/>
      <c r="F316" s="8"/>
      <c r="G316" s="8"/>
      <c r="H316" s="6" t="str">
        <f aca="false">IF(A316="","",YEAR(A316))</f>
        <v/>
      </c>
      <c r="I316" s="6" t="str">
        <f aca="false">IF(A316="","",MONTH(A316))</f>
        <v/>
      </c>
    </row>
    <row r="317" customFormat="false" ht="15" hidden="false" customHeight="false" outlineLevel="0" collapsed="false">
      <c r="A317" s="7"/>
      <c r="B317" s="8"/>
      <c r="C317" s="8"/>
      <c r="D317" s="8"/>
      <c r="E317" s="11"/>
      <c r="F317" s="8"/>
      <c r="G317" s="8"/>
      <c r="H317" s="6" t="str">
        <f aca="false">IF(A317="","",YEAR(A317))</f>
        <v/>
      </c>
      <c r="I317" s="6" t="str">
        <f aca="false">IF(A317="","",MONTH(A317))</f>
        <v/>
      </c>
    </row>
    <row r="318" customFormat="false" ht="15" hidden="false" customHeight="false" outlineLevel="0" collapsed="false">
      <c r="A318" s="7"/>
      <c r="B318" s="8"/>
      <c r="C318" s="8"/>
      <c r="D318" s="8"/>
      <c r="E318" s="11"/>
      <c r="F318" s="8"/>
      <c r="G318" s="8"/>
      <c r="H318" s="6" t="str">
        <f aca="false">IF(A318="","",YEAR(A318))</f>
        <v/>
      </c>
      <c r="I318" s="6" t="str">
        <f aca="false">IF(A318="","",MONTH(A318))</f>
        <v/>
      </c>
    </row>
    <row r="319" customFormat="false" ht="15" hidden="false" customHeight="false" outlineLevel="0" collapsed="false">
      <c r="A319" s="7"/>
      <c r="B319" s="8"/>
      <c r="C319" s="8"/>
      <c r="D319" s="8"/>
      <c r="E319" s="11"/>
      <c r="F319" s="8"/>
      <c r="G319" s="8"/>
      <c r="H319" s="6" t="str">
        <f aca="false">IF(A319="","",YEAR(A319))</f>
        <v/>
      </c>
      <c r="I319" s="6" t="str">
        <f aca="false">IF(A319="","",MONTH(A319))</f>
        <v/>
      </c>
    </row>
    <row r="320" customFormat="false" ht="15" hidden="false" customHeight="false" outlineLevel="0" collapsed="false">
      <c r="A320" s="7"/>
      <c r="B320" s="8"/>
      <c r="C320" s="8"/>
      <c r="D320" s="8"/>
      <c r="E320" s="11"/>
      <c r="F320" s="8"/>
      <c r="G320" s="8"/>
      <c r="H320" s="6" t="str">
        <f aca="false">IF(A320="","",YEAR(A320))</f>
        <v/>
      </c>
      <c r="I320" s="6" t="str">
        <f aca="false">IF(A320="","",MONTH(A320))</f>
        <v/>
      </c>
    </row>
    <row r="321" customFormat="false" ht="15" hidden="false" customHeight="false" outlineLevel="0" collapsed="false">
      <c r="A321" s="7"/>
      <c r="B321" s="8"/>
      <c r="C321" s="8"/>
      <c r="D321" s="8"/>
      <c r="E321" s="11"/>
      <c r="F321" s="8"/>
      <c r="G321" s="8"/>
      <c r="H321" s="6" t="str">
        <f aca="false">IF(A321="","",YEAR(A321))</f>
        <v/>
      </c>
      <c r="I321" s="6" t="str">
        <f aca="false">IF(A321="","",MONTH(A321))</f>
        <v/>
      </c>
    </row>
    <row r="322" customFormat="false" ht="15" hidden="false" customHeight="false" outlineLevel="0" collapsed="false">
      <c r="A322" s="7"/>
      <c r="B322" s="8"/>
      <c r="C322" s="8"/>
      <c r="D322" s="8"/>
      <c r="E322" s="11"/>
      <c r="F322" s="8"/>
      <c r="G322" s="8"/>
      <c r="H322" s="6" t="str">
        <f aca="false">IF(A322="","",YEAR(A322))</f>
        <v/>
      </c>
      <c r="I322" s="6" t="str">
        <f aca="false">IF(A322="","",MONTH(A322))</f>
        <v/>
      </c>
    </row>
    <row r="323" customFormat="false" ht="15" hidden="false" customHeight="false" outlineLevel="0" collapsed="false">
      <c r="A323" s="7"/>
      <c r="B323" s="8"/>
      <c r="C323" s="8"/>
      <c r="D323" s="8"/>
      <c r="E323" s="11"/>
      <c r="F323" s="8"/>
      <c r="G323" s="8"/>
      <c r="H323" s="6" t="str">
        <f aca="false">IF(A323="","",YEAR(A323))</f>
        <v/>
      </c>
      <c r="I323" s="6" t="str">
        <f aca="false">IF(A323="","",MONTH(A323))</f>
        <v/>
      </c>
    </row>
    <row r="324" customFormat="false" ht="15" hidden="false" customHeight="false" outlineLevel="0" collapsed="false">
      <c r="A324" s="7"/>
      <c r="B324" s="8"/>
      <c r="C324" s="8"/>
      <c r="D324" s="8"/>
      <c r="E324" s="11"/>
      <c r="F324" s="8"/>
      <c r="G324" s="8"/>
      <c r="H324" s="6" t="str">
        <f aca="false">IF(A324="","",YEAR(A324))</f>
        <v/>
      </c>
      <c r="I324" s="6" t="str">
        <f aca="false">IF(A324="","",MONTH(A324))</f>
        <v/>
      </c>
    </row>
    <row r="325" customFormat="false" ht="15" hidden="false" customHeight="false" outlineLevel="0" collapsed="false">
      <c r="A325" s="7"/>
      <c r="B325" s="8"/>
      <c r="C325" s="8"/>
      <c r="D325" s="8"/>
      <c r="E325" s="11"/>
      <c r="F325" s="8"/>
      <c r="G325" s="8"/>
      <c r="H325" s="6" t="str">
        <f aca="false">IF(A325="","",YEAR(A325))</f>
        <v/>
      </c>
      <c r="I325" s="6" t="str">
        <f aca="false">IF(A325="","",MONTH(A325))</f>
        <v/>
      </c>
    </row>
    <row r="326" customFormat="false" ht="15" hidden="false" customHeight="false" outlineLevel="0" collapsed="false">
      <c r="A326" s="7"/>
      <c r="B326" s="8"/>
      <c r="C326" s="8"/>
      <c r="D326" s="8"/>
      <c r="E326" s="11"/>
      <c r="F326" s="8"/>
      <c r="G326" s="8"/>
      <c r="H326" s="6" t="str">
        <f aca="false">IF(A326="","",YEAR(A326))</f>
        <v/>
      </c>
      <c r="I326" s="6" t="str">
        <f aca="false">IF(A326="","",MONTH(A326))</f>
        <v/>
      </c>
    </row>
    <row r="327" customFormat="false" ht="15" hidden="false" customHeight="false" outlineLevel="0" collapsed="false">
      <c r="A327" s="7"/>
      <c r="B327" s="8"/>
      <c r="C327" s="8"/>
      <c r="D327" s="8"/>
      <c r="E327" s="11"/>
      <c r="F327" s="8"/>
      <c r="G327" s="8"/>
      <c r="H327" s="6" t="str">
        <f aca="false">IF(A327="","",YEAR(A327))</f>
        <v/>
      </c>
      <c r="I327" s="6" t="str">
        <f aca="false">IF(A327="","",MONTH(A327))</f>
        <v/>
      </c>
    </row>
    <row r="328" customFormat="false" ht="15" hidden="false" customHeight="false" outlineLevel="0" collapsed="false">
      <c r="A328" s="7"/>
      <c r="B328" s="8"/>
      <c r="C328" s="8"/>
      <c r="D328" s="8"/>
      <c r="E328" s="11"/>
      <c r="F328" s="8"/>
      <c r="G328" s="8"/>
      <c r="H328" s="6" t="str">
        <f aca="false">IF(A328="","",YEAR(A328))</f>
        <v/>
      </c>
      <c r="I328" s="6" t="str">
        <f aca="false">IF(A328="","",MONTH(A328))</f>
        <v/>
      </c>
    </row>
    <row r="329" customFormat="false" ht="15" hidden="false" customHeight="false" outlineLevel="0" collapsed="false">
      <c r="A329" s="7"/>
      <c r="B329" s="8"/>
      <c r="C329" s="8"/>
      <c r="D329" s="8"/>
      <c r="E329" s="11"/>
      <c r="F329" s="8"/>
      <c r="G329" s="8"/>
      <c r="H329" s="6" t="str">
        <f aca="false">IF(A329="","",YEAR(A329))</f>
        <v/>
      </c>
      <c r="I329" s="6" t="str">
        <f aca="false">IF(A329="","",MONTH(A329))</f>
        <v/>
      </c>
    </row>
    <row r="330" customFormat="false" ht="15" hidden="false" customHeight="false" outlineLevel="0" collapsed="false">
      <c r="A330" s="7"/>
      <c r="B330" s="8"/>
      <c r="C330" s="8"/>
      <c r="D330" s="8"/>
      <c r="E330" s="11"/>
      <c r="F330" s="8"/>
      <c r="G330" s="8"/>
      <c r="H330" s="6" t="str">
        <f aca="false">IF(A330="","",YEAR(A330))</f>
        <v/>
      </c>
      <c r="I330" s="6" t="str">
        <f aca="false">IF(A330="","",MONTH(A330))</f>
        <v/>
      </c>
    </row>
    <row r="331" customFormat="false" ht="15" hidden="false" customHeight="false" outlineLevel="0" collapsed="false">
      <c r="A331" s="7"/>
      <c r="B331" s="8"/>
      <c r="C331" s="8"/>
      <c r="D331" s="8"/>
      <c r="E331" s="11"/>
      <c r="F331" s="8"/>
      <c r="G331" s="8"/>
      <c r="H331" s="6" t="str">
        <f aca="false">IF(A331="","",YEAR(A331))</f>
        <v/>
      </c>
      <c r="I331" s="6" t="str">
        <f aca="false">IF(A331="","",MONTH(A331))</f>
        <v/>
      </c>
    </row>
    <row r="332" customFormat="false" ht="15" hidden="false" customHeight="false" outlineLevel="0" collapsed="false">
      <c r="A332" s="7"/>
      <c r="B332" s="8"/>
      <c r="C332" s="8"/>
      <c r="D332" s="8"/>
      <c r="E332" s="11"/>
      <c r="F332" s="8"/>
      <c r="G332" s="8"/>
      <c r="H332" s="6" t="str">
        <f aca="false">IF(A332="","",YEAR(A332))</f>
        <v/>
      </c>
      <c r="I332" s="6" t="str">
        <f aca="false">IF(A332="","",MONTH(A332))</f>
        <v/>
      </c>
    </row>
    <row r="333" customFormat="false" ht="15" hidden="false" customHeight="false" outlineLevel="0" collapsed="false">
      <c r="A333" s="7"/>
      <c r="B333" s="8"/>
      <c r="C333" s="8"/>
      <c r="D333" s="8"/>
      <c r="E333" s="11"/>
      <c r="F333" s="8"/>
      <c r="G333" s="8"/>
      <c r="H333" s="6" t="str">
        <f aca="false">IF(A333="","",YEAR(A333))</f>
        <v/>
      </c>
      <c r="I333" s="6" t="str">
        <f aca="false">IF(A333="","",MONTH(A333))</f>
        <v/>
      </c>
    </row>
    <row r="334" customFormat="false" ht="15" hidden="false" customHeight="false" outlineLevel="0" collapsed="false">
      <c r="A334" s="7"/>
      <c r="B334" s="8"/>
      <c r="C334" s="8"/>
      <c r="D334" s="8"/>
      <c r="E334" s="11"/>
      <c r="F334" s="8"/>
      <c r="G334" s="8"/>
      <c r="H334" s="6" t="str">
        <f aca="false">IF(A334="","",YEAR(A334))</f>
        <v/>
      </c>
      <c r="I334" s="6" t="str">
        <f aca="false">IF(A334="","",MONTH(A334))</f>
        <v/>
      </c>
    </row>
    <row r="335" customFormat="false" ht="15" hidden="false" customHeight="false" outlineLevel="0" collapsed="false">
      <c r="A335" s="7"/>
      <c r="B335" s="8"/>
      <c r="C335" s="8"/>
      <c r="D335" s="8"/>
      <c r="E335" s="11"/>
      <c r="F335" s="8"/>
      <c r="G335" s="8"/>
      <c r="H335" s="6" t="str">
        <f aca="false">IF(A335="","",YEAR(A335))</f>
        <v/>
      </c>
      <c r="I335" s="6" t="str">
        <f aca="false">IF(A335="","",MONTH(A335))</f>
        <v/>
      </c>
    </row>
    <row r="336" customFormat="false" ht="15" hidden="false" customHeight="false" outlineLevel="0" collapsed="false">
      <c r="A336" s="7"/>
      <c r="B336" s="8"/>
      <c r="C336" s="8"/>
      <c r="D336" s="8"/>
      <c r="E336" s="11"/>
      <c r="F336" s="8"/>
      <c r="G336" s="8"/>
      <c r="H336" s="6" t="str">
        <f aca="false">IF(A336="","",YEAR(A336))</f>
        <v/>
      </c>
      <c r="I336" s="6" t="str">
        <f aca="false">IF(A336="","",MONTH(A336))</f>
        <v/>
      </c>
    </row>
    <row r="337" customFormat="false" ht="15" hidden="false" customHeight="false" outlineLevel="0" collapsed="false">
      <c r="A337" s="7"/>
      <c r="B337" s="8"/>
      <c r="C337" s="8"/>
      <c r="D337" s="8"/>
      <c r="E337" s="11"/>
      <c r="F337" s="8"/>
      <c r="G337" s="8"/>
      <c r="H337" s="6" t="str">
        <f aca="false">IF(A337="","",YEAR(A337))</f>
        <v/>
      </c>
      <c r="I337" s="6" t="str">
        <f aca="false">IF(A337="","",MONTH(A337))</f>
        <v/>
      </c>
    </row>
    <row r="338" customFormat="false" ht="15" hidden="false" customHeight="false" outlineLevel="0" collapsed="false">
      <c r="A338" s="7"/>
      <c r="B338" s="8"/>
      <c r="C338" s="8"/>
      <c r="D338" s="8"/>
      <c r="E338" s="11"/>
      <c r="F338" s="8"/>
      <c r="G338" s="8"/>
      <c r="H338" s="6" t="str">
        <f aca="false">IF(A338="","",YEAR(A338))</f>
        <v/>
      </c>
      <c r="I338" s="6" t="str">
        <f aca="false">IF(A338="","",MONTH(A338))</f>
        <v/>
      </c>
    </row>
    <row r="339" customFormat="false" ht="15" hidden="false" customHeight="false" outlineLevel="0" collapsed="false">
      <c r="A339" s="7"/>
      <c r="B339" s="8"/>
      <c r="C339" s="8"/>
      <c r="D339" s="8"/>
      <c r="E339" s="11"/>
      <c r="F339" s="8"/>
      <c r="G339" s="8"/>
      <c r="H339" s="6" t="str">
        <f aca="false">IF(A339="","",YEAR(A339))</f>
        <v/>
      </c>
      <c r="I339" s="6" t="str">
        <f aca="false">IF(A339="","",MONTH(A339))</f>
        <v/>
      </c>
    </row>
    <row r="340" customFormat="false" ht="15" hidden="false" customHeight="false" outlineLevel="0" collapsed="false">
      <c r="A340" s="7"/>
      <c r="B340" s="8"/>
      <c r="C340" s="8"/>
      <c r="D340" s="8"/>
      <c r="E340" s="11"/>
      <c r="F340" s="8"/>
      <c r="G340" s="8"/>
      <c r="H340" s="6" t="str">
        <f aca="false">IF(A340="","",YEAR(A340))</f>
        <v/>
      </c>
      <c r="I340" s="6" t="str">
        <f aca="false">IF(A340="","",MONTH(A340))</f>
        <v/>
      </c>
    </row>
    <row r="341" customFormat="false" ht="15" hidden="false" customHeight="false" outlineLevel="0" collapsed="false">
      <c r="A341" s="7"/>
      <c r="B341" s="8"/>
      <c r="C341" s="8"/>
      <c r="D341" s="8"/>
      <c r="E341" s="11"/>
      <c r="F341" s="8"/>
      <c r="G341" s="8"/>
      <c r="H341" s="6" t="str">
        <f aca="false">IF(A341="","",YEAR(A341))</f>
        <v/>
      </c>
      <c r="I341" s="6" t="str">
        <f aca="false">IF(A341="","",MONTH(A341))</f>
        <v/>
      </c>
    </row>
    <row r="342" customFormat="false" ht="15" hidden="false" customHeight="false" outlineLevel="0" collapsed="false">
      <c r="A342" s="7"/>
      <c r="B342" s="8"/>
      <c r="C342" s="8"/>
      <c r="D342" s="8"/>
      <c r="E342" s="11"/>
      <c r="F342" s="8"/>
      <c r="G342" s="8"/>
      <c r="H342" s="6" t="str">
        <f aca="false">IF(A342="","",YEAR(A342))</f>
        <v/>
      </c>
      <c r="I342" s="6" t="str">
        <f aca="false">IF(A342="","",MONTH(A342))</f>
        <v/>
      </c>
    </row>
    <row r="343" customFormat="false" ht="15" hidden="false" customHeight="false" outlineLevel="0" collapsed="false">
      <c r="A343" s="7"/>
      <c r="B343" s="8"/>
      <c r="C343" s="8"/>
      <c r="D343" s="8"/>
      <c r="E343" s="11"/>
      <c r="F343" s="8"/>
      <c r="G343" s="8"/>
      <c r="H343" s="6" t="str">
        <f aca="false">IF(A343="","",YEAR(A343))</f>
        <v/>
      </c>
      <c r="I343" s="6" t="str">
        <f aca="false">IF(A343="","",MONTH(A343))</f>
        <v/>
      </c>
    </row>
    <row r="344" customFormat="false" ht="15" hidden="false" customHeight="false" outlineLevel="0" collapsed="false">
      <c r="A344" s="7"/>
      <c r="B344" s="8"/>
      <c r="C344" s="8"/>
      <c r="D344" s="8"/>
      <c r="E344" s="11"/>
      <c r="F344" s="8"/>
      <c r="G344" s="8"/>
      <c r="H344" s="6" t="str">
        <f aca="false">IF(A344="","",YEAR(A344))</f>
        <v/>
      </c>
      <c r="I344" s="6" t="str">
        <f aca="false">IF(A344="","",MONTH(A344))</f>
        <v/>
      </c>
    </row>
    <row r="345" customFormat="false" ht="15" hidden="false" customHeight="false" outlineLevel="0" collapsed="false">
      <c r="A345" s="7"/>
      <c r="B345" s="8"/>
      <c r="C345" s="8"/>
      <c r="D345" s="8"/>
      <c r="E345" s="11"/>
      <c r="F345" s="8"/>
      <c r="G345" s="8"/>
      <c r="H345" s="6" t="str">
        <f aca="false">IF(A345="","",YEAR(A345))</f>
        <v/>
      </c>
      <c r="I345" s="6" t="str">
        <f aca="false">IF(A345="","",MONTH(A345))</f>
        <v/>
      </c>
    </row>
    <row r="346" customFormat="false" ht="15" hidden="false" customHeight="false" outlineLevel="0" collapsed="false">
      <c r="A346" s="7"/>
      <c r="B346" s="8"/>
      <c r="C346" s="8"/>
      <c r="D346" s="8"/>
      <c r="E346" s="11"/>
      <c r="F346" s="8"/>
      <c r="G346" s="8"/>
      <c r="H346" s="6" t="str">
        <f aca="false">IF(A346="","",YEAR(A346))</f>
        <v/>
      </c>
      <c r="I346" s="6" t="str">
        <f aca="false">IF(A346="","",MONTH(A346))</f>
        <v/>
      </c>
    </row>
    <row r="347" customFormat="false" ht="15" hidden="false" customHeight="false" outlineLevel="0" collapsed="false">
      <c r="A347" s="7"/>
      <c r="B347" s="8"/>
      <c r="C347" s="8"/>
      <c r="D347" s="8"/>
      <c r="E347" s="11"/>
      <c r="F347" s="8"/>
      <c r="G347" s="8"/>
      <c r="H347" s="6" t="str">
        <f aca="false">IF(A347="","",YEAR(A347))</f>
        <v/>
      </c>
      <c r="I347" s="6" t="str">
        <f aca="false">IF(A347="","",MONTH(A347))</f>
        <v/>
      </c>
    </row>
    <row r="348" customFormat="false" ht="15" hidden="false" customHeight="false" outlineLevel="0" collapsed="false">
      <c r="A348" s="7"/>
      <c r="B348" s="8"/>
      <c r="C348" s="8"/>
      <c r="D348" s="8"/>
      <c r="E348" s="11"/>
      <c r="F348" s="8"/>
      <c r="G348" s="8"/>
      <c r="H348" s="6" t="str">
        <f aca="false">IF(A348="","",YEAR(A348))</f>
        <v/>
      </c>
      <c r="I348" s="6" t="str">
        <f aca="false">IF(A348="","",MONTH(A348))</f>
        <v/>
      </c>
    </row>
    <row r="349" customFormat="false" ht="15" hidden="false" customHeight="false" outlineLevel="0" collapsed="false">
      <c r="A349" s="7"/>
      <c r="B349" s="8"/>
      <c r="C349" s="8"/>
      <c r="D349" s="8"/>
      <c r="E349" s="11"/>
      <c r="F349" s="8"/>
      <c r="G349" s="8"/>
      <c r="H349" s="6" t="str">
        <f aca="false">IF(A349="","",YEAR(A349))</f>
        <v/>
      </c>
      <c r="I349" s="6" t="str">
        <f aca="false">IF(A349="","",MONTH(A349))</f>
        <v/>
      </c>
    </row>
    <row r="350" customFormat="false" ht="15" hidden="false" customHeight="false" outlineLevel="0" collapsed="false">
      <c r="A350" s="7"/>
      <c r="B350" s="8"/>
      <c r="C350" s="8"/>
      <c r="D350" s="8"/>
      <c r="E350" s="11"/>
      <c r="F350" s="8"/>
      <c r="G350" s="8"/>
      <c r="H350" s="6" t="str">
        <f aca="false">IF(A350="","",YEAR(A350))</f>
        <v/>
      </c>
      <c r="I350" s="6" t="str">
        <f aca="false">IF(A350="","",MONTH(A350))</f>
        <v/>
      </c>
    </row>
    <row r="351" customFormat="false" ht="15" hidden="false" customHeight="false" outlineLevel="0" collapsed="false">
      <c r="A351" s="7"/>
      <c r="B351" s="8"/>
      <c r="C351" s="8"/>
      <c r="D351" s="8"/>
      <c r="E351" s="11"/>
      <c r="F351" s="8"/>
      <c r="G351" s="8"/>
      <c r="H351" s="6" t="str">
        <f aca="false">IF(A351="","",YEAR(A351))</f>
        <v/>
      </c>
      <c r="I351" s="6" t="str">
        <f aca="false">IF(A351="","",MONTH(A351))</f>
        <v/>
      </c>
    </row>
    <row r="352" customFormat="false" ht="15" hidden="false" customHeight="false" outlineLevel="0" collapsed="false">
      <c r="A352" s="7"/>
      <c r="B352" s="8"/>
      <c r="C352" s="8"/>
      <c r="D352" s="8"/>
      <c r="E352" s="11"/>
      <c r="F352" s="8"/>
      <c r="G352" s="8"/>
      <c r="H352" s="6" t="str">
        <f aca="false">IF(A352="","",YEAR(A352))</f>
        <v/>
      </c>
      <c r="I352" s="6" t="str">
        <f aca="false">IF(A352="","",MONTH(A352))</f>
        <v/>
      </c>
    </row>
    <row r="353" customFormat="false" ht="15" hidden="false" customHeight="false" outlineLevel="0" collapsed="false">
      <c r="A353" s="7"/>
      <c r="B353" s="8"/>
      <c r="C353" s="8"/>
      <c r="D353" s="8"/>
      <c r="E353" s="11"/>
      <c r="F353" s="8"/>
      <c r="G353" s="8"/>
      <c r="H353" s="6" t="str">
        <f aca="false">IF(A353="","",YEAR(A353))</f>
        <v/>
      </c>
      <c r="I353" s="6" t="str">
        <f aca="false">IF(A353="","",MONTH(A353))</f>
        <v/>
      </c>
    </row>
    <row r="354" customFormat="false" ht="15" hidden="false" customHeight="false" outlineLevel="0" collapsed="false">
      <c r="A354" s="7"/>
      <c r="B354" s="8"/>
      <c r="C354" s="8"/>
      <c r="D354" s="8"/>
      <c r="E354" s="11"/>
      <c r="F354" s="8"/>
      <c r="G354" s="8"/>
      <c r="H354" s="6" t="str">
        <f aca="false">IF(A354="","",YEAR(A354))</f>
        <v/>
      </c>
      <c r="I354" s="6" t="str">
        <f aca="false">IF(A354="","",MONTH(A354))</f>
        <v/>
      </c>
    </row>
    <row r="355" customFormat="false" ht="15" hidden="false" customHeight="false" outlineLevel="0" collapsed="false">
      <c r="A355" s="7"/>
      <c r="B355" s="8"/>
      <c r="C355" s="8"/>
      <c r="D355" s="8"/>
      <c r="E355" s="11"/>
      <c r="F355" s="8"/>
      <c r="G355" s="8"/>
      <c r="H355" s="6" t="str">
        <f aca="false">IF(A355="","",YEAR(A355))</f>
        <v/>
      </c>
      <c r="I355" s="6" t="str">
        <f aca="false">IF(A355="","",MONTH(A355))</f>
        <v/>
      </c>
    </row>
    <row r="356" customFormat="false" ht="15" hidden="false" customHeight="false" outlineLevel="0" collapsed="false">
      <c r="A356" s="7"/>
      <c r="B356" s="8"/>
      <c r="C356" s="8"/>
      <c r="D356" s="8"/>
      <c r="E356" s="11"/>
      <c r="F356" s="8"/>
      <c r="G356" s="8"/>
      <c r="H356" s="6" t="str">
        <f aca="false">IF(A356="","",YEAR(A356))</f>
        <v/>
      </c>
      <c r="I356" s="6" t="str">
        <f aca="false">IF(A356="","",MONTH(A356))</f>
        <v/>
      </c>
    </row>
    <row r="357" customFormat="false" ht="15" hidden="false" customHeight="false" outlineLevel="0" collapsed="false">
      <c r="A357" s="7"/>
      <c r="B357" s="8"/>
      <c r="C357" s="8"/>
      <c r="D357" s="8"/>
      <c r="E357" s="11"/>
      <c r="F357" s="8"/>
      <c r="G357" s="8"/>
      <c r="H357" s="6" t="str">
        <f aca="false">IF(A357="","",YEAR(A357))</f>
        <v/>
      </c>
      <c r="I357" s="6" t="str">
        <f aca="false">IF(A357="","",MONTH(A357))</f>
        <v/>
      </c>
    </row>
    <row r="358" customFormat="false" ht="15" hidden="false" customHeight="false" outlineLevel="0" collapsed="false">
      <c r="A358" s="7"/>
      <c r="B358" s="8"/>
      <c r="C358" s="8"/>
      <c r="D358" s="8"/>
      <c r="E358" s="11"/>
      <c r="F358" s="8"/>
      <c r="G358" s="8"/>
      <c r="H358" s="6" t="str">
        <f aca="false">IF(A358="","",YEAR(A358))</f>
        <v/>
      </c>
      <c r="I358" s="6" t="str">
        <f aca="false">IF(A358="","",MONTH(A358))</f>
        <v/>
      </c>
    </row>
    <row r="359" customFormat="false" ht="15" hidden="false" customHeight="false" outlineLevel="0" collapsed="false">
      <c r="A359" s="7"/>
      <c r="B359" s="8"/>
      <c r="C359" s="8"/>
      <c r="D359" s="8"/>
      <c r="E359" s="11"/>
      <c r="F359" s="8"/>
      <c r="G359" s="8"/>
      <c r="H359" s="6" t="str">
        <f aca="false">IF(A359="","",YEAR(A359))</f>
        <v/>
      </c>
      <c r="I359" s="6" t="str">
        <f aca="false">IF(A359="","",MONTH(A359))</f>
        <v/>
      </c>
    </row>
    <row r="360" customFormat="false" ht="15" hidden="false" customHeight="false" outlineLevel="0" collapsed="false">
      <c r="A360" s="7"/>
      <c r="B360" s="8"/>
      <c r="C360" s="8"/>
      <c r="D360" s="8"/>
      <c r="E360" s="11"/>
      <c r="F360" s="8"/>
      <c r="G360" s="8"/>
      <c r="H360" s="6" t="str">
        <f aca="false">IF(A360="","",YEAR(A360))</f>
        <v/>
      </c>
      <c r="I360" s="6" t="str">
        <f aca="false">IF(A360="","",MONTH(A360))</f>
        <v/>
      </c>
    </row>
    <row r="361" customFormat="false" ht="15" hidden="false" customHeight="false" outlineLevel="0" collapsed="false">
      <c r="A361" s="7"/>
      <c r="B361" s="8"/>
      <c r="C361" s="8"/>
      <c r="D361" s="8"/>
      <c r="E361" s="11"/>
      <c r="F361" s="8"/>
      <c r="G361" s="8"/>
      <c r="H361" s="6" t="str">
        <f aca="false">IF(A361="","",YEAR(A361))</f>
        <v/>
      </c>
      <c r="I361" s="6" t="str">
        <f aca="false">IF(A361="","",MONTH(A361))</f>
        <v/>
      </c>
    </row>
    <row r="362" customFormat="false" ht="15" hidden="false" customHeight="false" outlineLevel="0" collapsed="false">
      <c r="A362" s="7"/>
      <c r="B362" s="8"/>
      <c r="C362" s="8"/>
      <c r="D362" s="8"/>
      <c r="E362" s="11"/>
      <c r="F362" s="8"/>
      <c r="G362" s="8"/>
      <c r="H362" s="6" t="str">
        <f aca="false">IF(A362="","",YEAR(A362))</f>
        <v/>
      </c>
      <c r="I362" s="6" t="str">
        <f aca="false">IF(A362="","",MONTH(A362))</f>
        <v/>
      </c>
    </row>
    <row r="363" customFormat="false" ht="15" hidden="false" customHeight="false" outlineLevel="0" collapsed="false">
      <c r="A363" s="7"/>
      <c r="B363" s="8"/>
      <c r="C363" s="8"/>
      <c r="D363" s="8"/>
      <c r="E363" s="11"/>
      <c r="F363" s="8"/>
      <c r="G363" s="8"/>
      <c r="H363" s="6" t="str">
        <f aca="false">IF(A363="","",YEAR(A363))</f>
        <v/>
      </c>
      <c r="I363" s="6" t="str">
        <f aca="false">IF(A363="","",MONTH(A363))</f>
        <v/>
      </c>
    </row>
    <row r="364" customFormat="false" ht="15" hidden="false" customHeight="false" outlineLevel="0" collapsed="false">
      <c r="A364" s="7"/>
      <c r="B364" s="8"/>
      <c r="C364" s="8"/>
      <c r="D364" s="8"/>
      <c r="E364" s="11"/>
      <c r="F364" s="8"/>
      <c r="G364" s="8"/>
      <c r="H364" s="6" t="str">
        <f aca="false">IF(A364="","",YEAR(A364))</f>
        <v/>
      </c>
      <c r="I364" s="6" t="str">
        <f aca="false">IF(A364="","",MONTH(A364))</f>
        <v/>
      </c>
    </row>
    <row r="365" customFormat="false" ht="15" hidden="false" customHeight="false" outlineLevel="0" collapsed="false">
      <c r="A365" s="7"/>
      <c r="B365" s="8"/>
      <c r="C365" s="8"/>
      <c r="D365" s="8"/>
      <c r="E365" s="11"/>
      <c r="F365" s="8"/>
      <c r="G365" s="8"/>
      <c r="H365" s="6" t="str">
        <f aca="false">IF(A365="","",YEAR(A365))</f>
        <v/>
      </c>
      <c r="I365" s="6" t="str">
        <f aca="false">IF(A365="","",MONTH(A365))</f>
        <v/>
      </c>
    </row>
    <row r="366" customFormat="false" ht="15" hidden="false" customHeight="false" outlineLevel="0" collapsed="false">
      <c r="A366" s="7"/>
      <c r="B366" s="8"/>
      <c r="C366" s="8"/>
      <c r="D366" s="8"/>
      <c r="E366" s="11"/>
      <c r="F366" s="8"/>
      <c r="G366" s="8"/>
      <c r="H366" s="6" t="str">
        <f aca="false">IF(A366="","",YEAR(A366))</f>
        <v/>
      </c>
      <c r="I366" s="6" t="str">
        <f aca="false">IF(A366="","",MONTH(A366))</f>
        <v/>
      </c>
    </row>
    <row r="367" customFormat="false" ht="15" hidden="false" customHeight="false" outlineLevel="0" collapsed="false">
      <c r="A367" s="7"/>
      <c r="B367" s="8"/>
      <c r="C367" s="8"/>
      <c r="D367" s="8"/>
      <c r="E367" s="11"/>
      <c r="F367" s="8"/>
      <c r="G367" s="8"/>
      <c r="H367" s="6" t="str">
        <f aca="false">IF(A367="","",YEAR(A367))</f>
        <v/>
      </c>
      <c r="I367" s="6" t="str">
        <f aca="false">IF(A367="","",MONTH(A367))</f>
        <v/>
      </c>
    </row>
    <row r="368" customFormat="false" ht="15" hidden="false" customHeight="false" outlineLevel="0" collapsed="false">
      <c r="A368" s="7"/>
      <c r="B368" s="8"/>
      <c r="C368" s="8"/>
      <c r="D368" s="8"/>
      <c r="E368" s="11"/>
      <c r="F368" s="8"/>
      <c r="G368" s="8"/>
      <c r="H368" s="6" t="str">
        <f aca="false">IF(A368="","",YEAR(A368))</f>
        <v/>
      </c>
      <c r="I368" s="6" t="str">
        <f aca="false">IF(A368="","",MONTH(A368))</f>
        <v/>
      </c>
    </row>
    <row r="369" customFormat="false" ht="15" hidden="false" customHeight="false" outlineLevel="0" collapsed="false">
      <c r="A369" s="7"/>
      <c r="B369" s="8"/>
      <c r="C369" s="8"/>
      <c r="D369" s="8"/>
      <c r="E369" s="11"/>
      <c r="F369" s="8"/>
      <c r="G369" s="8"/>
      <c r="H369" s="6" t="str">
        <f aca="false">IF(A369="","",YEAR(A369))</f>
        <v/>
      </c>
      <c r="I369" s="6" t="str">
        <f aca="false">IF(A369="","",MONTH(A369))</f>
        <v/>
      </c>
    </row>
    <row r="370" customFormat="false" ht="15" hidden="false" customHeight="false" outlineLevel="0" collapsed="false">
      <c r="A370" s="7"/>
      <c r="B370" s="8"/>
      <c r="C370" s="8"/>
      <c r="D370" s="8"/>
      <c r="E370" s="11"/>
      <c r="F370" s="8"/>
      <c r="G370" s="8"/>
      <c r="H370" s="6" t="str">
        <f aca="false">IF(A370="","",YEAR(A370))</f>
        <v/>
      </c>
      <c r="I370" s="6" t="str">
        <f aca="false">IF(A370="","",MONTH(A370))</f>
        <v/>
      </c>
    </row>
    <row r="371" customFormat="false" ht="15" hidden="false" customHeight="false" outlineLevel="0" collapsed="false">
      <c r="A371" s="7"/>
      <c r="B371" s="8"/>
      <c r="C371" s="8"/>
      <c r="D371" s="8"/>
      <c r="E371" s="11"/>
      <c r="F371" s="8"/>
      <c r="G371" s="8"/>
      <c r="H371" s="6" t="str">
        <f aca="false">IF(A371="","",YEAR(A371))</f>
        <v/>
      </c>
      <c r="I371" s="6" t="str">
        <f aca="false">IF(A371="","",MONTH(A371))</f>
        <v/>
      </c>
    </row>
    <row r="372" customFormat="false" ht="15" hidden="false" customHeight="false" outlineLevel="0" collapsed="false">
      <c r="A372" s="7"/>
      <c r="B372" s="8"/>
      <c r="C372" s="8"/>
      <c r="D372" s="8"/>
      <c r="E372" s="11"/>
      <c r="F372" s="8"/>
      <c r="G372" s="8"/>
      <c r="H372" s="6" t="str">
        <f aca="false">IF(A372="","",YEAR(A372))</f>
        <v/>
      </c>
      <c r="I372" s="6" t="str">
        <f aca="false">IF(A372="","",MONTH(A372))</f>
        <v/>
      </c>
    </row>
    <row r="373" customFormat="false" ht="15" hidden="false" customHeight="false" outlineLevel="0" collapsed="false">
      <c r="A373" s="7"/>
      <c r="B373" s="8"/>
      <c r="C373" s="8"/>
      <c r="D373" s="8"/>
      <c r="E373" s="11"/>
      <c r="F373" s="8"/>
      <c r="G373" s="8"/>
      <c r="H373" s="6" t="str">
        <f aca="false">IF(A373="","",YEAR(A373))</f>
        <v/>
      </c>
      <c r="I373" s="6" t="str">
        <f aca="false">IF(A373="","",MONTH(A373))</f>
        <v/>
      </c>
    </row>
    <row r="374" customFormat="false" ht="15" hidden="false" customHeight="false" outlineLevel="0" collapsed="false">
      <c r="A374" s="7"/>
      <c r="B374" s="8"/>
      <c r="C374" s="8"/>
      <c r="D374" s="8"/>
      <c r="E374" s="11"/>
      <c r="F374" s="8"/>
      <c r="G374" s="8"/>
      <c r="H374" s="6" t="str">
        <f aca="false">IF(A374="","",YEAR(A374))</f>
        <v/>
      </c>
      <c r="I374" s="6" t="str">
        <f aca="false">IF(A374="","",MONTH(A374))</f>
        <v/>
      </c>
    </row>
    <row r="375" customFormat="false" ht="15" hidden="false" customHeight="false" outlineLevel="0" collapsed="false">
      <c r="A375" s="7"/>
      <c r="B375" s="8"/>
      <c r="C375" s="8"/>
      <c r="D375" s="8"/>
      <c r="E375" s="11"/>
      <c r="F375" s="8"/>
      <c r="G375" s="8"/>
      <c r="H375" s="6" t="str">
        <f aca="false">IF(A375="","",YEAR(A375))</f>
        <v/>
      </c>
      <c r="I375" s="6" t="str">
        <f aca="false">IF(A375="","",MONTH(A375))</f>
        <v/>
      </c>
    </row>
    <row r="376" customFormat="false" ht="15" hidden="false" customHeight="false" outlineLevel="0" collapsed="false">
      <c r="A376" s="7"/>
      <c r="B376" s="8"/>
      <c r="C376" s="8"/>
      <c r="D376" s="8"/>
      <c r="E376" s="11"/>
      <c r="F376" s="8"/>
      <c r="G376" s="8"/>
      <c r="H376" s="6" t="str">
        <f aca="false">IF(A376="","",YEAR(A376))</f>
        <v/>
      </c>
      <c r="I376" s="6" t="str">
        <f aca="false">IF(A376="","",MONTH(A376))</f>
        <v/>
      </c>
    </row>
    <row r="377" customFormat="false" ht="15" hidden="false" customHeight="false" outlineLevel="0" collapsed="false">
      <c r="A377" s="7"/>
      <c r="B377" s="8"/>
      <c r="C377" s="8"/>
      <c r="D377" s="8"/>
      <c r="E377" s="11"/>
      <c r="F377" s="8"/>
      <c r="G377" s="8"/>
      <c r="H377" s="6" t="str">
        <f aca="false">IF(A377="","",YEAR(A377))</f>
        <v/>
      </c>
      <c r="I377" s="6" t="str">
        <f aca="false">IF(A377="","",MONTH(A377))</f>
        <v/>
      </c>
    </row>
    <row r="378" customFormat="false" ht="15" hidden="false" customHeight="false" outlineLevel="0" collapsed="false">
      <c r="A378" s="7"/>
      <c r="B378" s="8"/>
      <c r="C378" s="8"/>
      <c r="D378" s="8"/>
      <c r="E378" s="11"/>
      <c r="F378" s="8"/>
      <c r="G378" s="8"/>
      <c r="H378" s="6" t="str">
        <f aca="false">IF(A378="","",YEAR(A378))</f>
        <v/>
      </c>
      <c r="I378" s="6" t="str">
        <f aca="false">IF(A378="","",MONTH(A378))</f>
        <v/>
      </c>
    </row>
    <row r="379" customFormat="false" ht="15" hidden="false" customHeight="false" outlineLevel="0" collapsed="false">
      <c r="A379" s="7"/>
      <c r="B379" s="8"/>
      <c r="C379" s="8"/>
      <c r="D379" s="8"/>
      <c r="E379" s="11"/>
      <c r="F379" s="8"/>
      <c r="G379" s="8"/>
      <c r="H379" s="6" t="str">
        <f aca="false">IF(A379="","",YEAR(A379))</f>
        <v/>
      </c>
      <c r="I379" s="6" t="str">
        <f aca="false">IF(A379="","",MONTH(A379))</f>
        <v/>
      </c>
    </row>
    <row r="380" customFormat="false" ht="15" hidden="false" customHeight="false" outlineLevel="0" collapsed="false">
      <c r="A380" s="7"/>
      <c r="B380" s="8"/>
      <c r="C380" s="8"/>
      <c r="D380" s="8"/>
      <c r="E380" s="11"/>
      <c r="F380" s="8"/>
      <c r="G380" s="8"/>
      <c r="H380" s="6" t="str">
        <f aca="false">IF(A380="","",YEAR(A380))</f>
        <v/>
      </c>
      <c r="I380" s="6" t="str">
        <f aca="false">IF(A380="","",MONTH(A380))</f>
        <v/>
      </c>
    </row>
    <row r="381" customFormat="false" ht="15" hidden="false" customHeight="false" outlineLevel="0" collapsed="false">
      <c r="A381" s="7"/>
      <c r="B381" s="8"/>
      <c r="C381" s="8"/>
      <c r="D381" s="8"/>
      <c r="E381" s="11"/>
      <c r="F381" s="8"/>
      <c r="G381" s="8"/>
      <c r="H381" s="6" t="str">
        <f aca="false">IF(A381="","",YEAR(A381))</f>
        <v/>
      </c>
      <c r="I381" s="6" t="str">
        <f aca="false">IF(A381="","",MONTH(A381))</f>
        <v/>
      </c>
    </row>
    <row r="382" customFormat="false" ht="15" hidden="false" customHeight="false" outlineLevel="0" collapsed="false">
      <c r="A382" s="7"/>
      <c r="B382" s="8"/>
      <c r="C382" s="8"/>
      <c r="D382" s="8"/>
      <c r="E382" s="11"/>
      <c r="F382" s="8"/>
      <c r="G382" s="8"/>
      <c r="H382" s="6" t="str">
        <f aca="false">IF(A382="","",YEAR(A382))</f>
        <v/>
      </c>
      <c r="I382" s="6" t="str">
        <f aca="false">IF(A382="","",MONTH(A382))</f>
        <v/>
      </c>
    </row>
    <row r="383" customFormat="false" ht="15" hidden="false" customHeight="false" outlineLevel="0" collapsed="false">
      <c r="A383" s="7"/>
      <c r="B383" s="8"/>
      <c r="C383" s="8"/>
      <c r="D383" s="8"/>
      <c r="E383" s="11"/>
      <c r="F383" s="8"/>
      <c r="G383" s="8"/>
      <c r="H383" s="6" t="str">
        <f aca="false">IF(A383="","",YEAR(A383))</f>
        <v/>
      </c>
      <c r="I383" s="6" t="str">
        <f aca="false">IF(A383="","",MONTH(A383))</f>
        <v/>
      </c>
    </row>
    <row r="384" customFormat="false" ht="15" hidden="false" customHeight="false" outlineLevel="0" collapsed="false">
      <c r="A384" s="7"/>
      <c r="B384" s="8"/>
      <c r="C384" s="8"/>
      <c r="D384" s="8"/>
      <c r="E384" s="11"/>
      <c r="F384" s="8"/>
      <c r="G384" s="8"/>
      <c r="H384" s="6" t="str">
        <f aca="false">IF(A384="","",YEAR(A384))</f>
        <v/>
      </c>
      <c r="I384" s="6" t="str">
        <f aca="false">IF(A384="","",MONTH(A384))</f>
        <v/>
      </c>
    </row>
    <row r="385" customFormat="false" ht="15" hidden="false" customHeight="false" outlineLevel="0" collapsed="false">
      <c r="A385" s="7"/>
      <c r="B385" s="8"/>
      <c r="C385" s="8"/>
      <c r="D385" s="8"/>
      <c r="E385" s="11"/>
      <c r="F385" s="8"/>
      <c r="G385" s="8"/>
      <c r="H385" s="6" t="str">
        <f aca="false">IF(A385="","",YEAR(A385))</f>
        <v/>
      </c>
      <c r="I385" s="6" t="str">
        <f aca="false">IF(A385="","",MONTH(A385))</f>
        <v/>
      </c>
    </row>
    <row r="386" customFormat="false" ht="15" hidden="false" customHeight="false" outlineLevel="0" collapsed="false">
      <c r="A386" s="7"/>
      <c r="B386" s="8"/>
      <c r="C386" s="8"/>
      <c r="D386" s="8"/>
      <c r="E386" s="11"/>
      <c r="F386" s="8"/>
      <c r="G386" s="8"/>
      <c r="H386" s="6" t="str">
        <f aca="false">IF(A386="","",YEAR(A386))</f>
        <v/>
      </c>
      <c r="I386" s="6" t="str">
        <f aca="false">IF(A386="","",MONTH(A386))</f>
        <v/>
      </c>
    </row>
    <row r="387" customFormat="false" ht="15" hidden="false" customHeight="false" outlineLevel="0" collapsed="false">
      <c r="A387" s="7"/>
      <c r="B387" s="8"/>
      <c r="C387" s="8"/>
      <c r="D387" s="8"/>
      <c r="E387" s="11"/>
      <c r="F387" s="8"/>
      <c r="G387" s="8"/>
      <c r="H387" s="6" t="str">
        <f aca="false">IF(A387="","",YEAR(A387))</f>
        <v/>
      </c>
      <c r="I387" s="6" t="str">
        <f aca="false">IF(A387="","",MONTH(A387))</f>
        <v/>
      </c>
    </row>
    <row r="388" customFormat="false" ht="15" hidden="false" customHeight="false" outlineLevel="0" collapsed="false">
      <c r="A388" s="7"/>
      <c r="B388" s="8"/>
      <c r="C388" s="8"/>
      <c r="D388" s="8"/>
      <c r="E388" s="11"/>
      <c r="F388" s="8"/>
      <c r="G388" s="8"/>
      <c r="H388" s="6" t="str">
        <f aca="false">IF(A388="","",YEAR(A388))</f>
        <v/>
      </c>
      <c r="I388" s="6" t="str">
        <f aca="false">IF(A388="","",MONTH(A388))</f>
        <v/>
      </c>
    </row>
    <row r="389" customFormat="false" ht="15" hidden="false" customHeight="false" outlineLevel="0" collapsed="false">
      <c r="A389" s="7"/>
      <c r="B389" s="8"/>
      <c r="C389" s="8"/>
      <c r="D389" s="8"/>
      <c r="E389" s="11"/>
      <c r="F389" s="8"/>
      <c r="G389" s="8"/>
      <c r="H389" s="6" t="str">
        <f aca="false">IF(A389="","",YEAR(A389))</f>
        <v/>
      </c>
      <c r="I389" s="6" t="str">
        <f aca="false">IF(A389="","",MONTH(A389))</f>
        <v/>
      </c>
    </row>
    <row r="390" customFormat="false" ht="15" hidden="false" customHeight="false" outlineLevel="0" collapsed="false">
      <c r="A390" s="7"/>
      <c r="B390" s="8"/>
      <c r="C390" s="8"/>
      <c r="D390" s="8"/>
      <c r="E390" s="11"/>
      <c r="F390" s="8"/>
      <c r="G390" s="8"/>
      <c r="H390" s="6" t="str">
        <f aca="false">IF(A390="","",YEAR(A390))</f>
        <v/>
      </c>
      <c r="I390" s="6" t="str">
        <f aca="false">IF(A390="","",MONTH(A390))</f>
        <v/>
      </c>
    </row>
    <row r="391" customFormat="false" ht="15" hidden="false" customHeight="false" outlineLevel="0" collapsed="false">
      <c r="A391" s="7"/>
      <c r="B391" s="8"/>
      <c r="C391" s="8"/>
      <c r="D391" s="8"/>
      <c r="E391" s="11"/>
      <c r="F391" s="8"/>
      <c r="G391" s="8"/>
      <c r="H391" s="6" t="str">
        <f aca="false">IF(A391="","",YEAR(A391))</f>
        <v/>
      </c>
      <c r="I391" s="6" t="str">
        <f aca="false">IF(A391="","",MONTH(A391))</f>
        <v/>
      </c>
    </row>
    <row r="392" customFormat="false" ht="15" hidden="false" customHeight="false" outlineLevel="0" collapsed="false">
      <c r="A392" s="7"/>
      <c r="B392" s="8"/>
      <c r="C392" s="8"/>
      <c r="D392" s="8"/>
      <c r="E392" s="11"/>
      <c r="F392" s="8"/>
      <c r="G392" s="8"/>
      <c r="H392" s="6" t="str">
        <f aca="false">IF(A392="","",YEAR(A392))</f>
        <v/>
      </c>
      <c r="I392" s="6" t="str">
        <f aca="false">IF(A392="","",MONTH(A392))</f>
        <v/>
      </c>
    </row>
    <row r="393" customFormat="false" ht="15" hidden="false" customHeight="false" outlineLevel="0" collapsed="false">
      <c r="A393" s="7"/>
      <c r="B393" s="8"/>
      <c r="C393" s="8"/>
      <c r="D393" s="8"/>
      <c r="E393" s="11"/>
      <c r="F393" s="8"/>
      <c r="G393" s="8"/>
      <c r="H393" s="6" t="str">
        <f aca="false">IF(A393="","",YEAR(A393))</f>
        <v/>
      </c>
      <c r="I393" s="6" t="str">
        <f aca="false">IF(A393="","",MONTH(A393))</f>
        <v/>
      </c>
    </row>
    <row r="394" customFormat="false" ht="15" hidden="false" customHeight="false" outlineLevel="0" collapsed="false">
      <c r="A394" s="7"/>
      <c r="B394" s="8"/>
      <c r="C394" s="8"/>
      <c r="D394" s="8"/>
      <c r="E394" s="11"/>
      <c r="F394" s="8"/>
      <c r="G394" s="8"/>
      <c r="H394" s="6" t="str">
        <f aca="false">IF(A394="","",YEAR(A394))</f>
        <v/>
      </c>
      <c r="I394" s="6" t="str">
        <f aca="false">IF(A394="","",MONTH(A394))</f>
        <v/>
      </c>
    </row>
    <row r="395" customFormat="false" ht="15" hidden="false" customHeight="false" outlineLevel="0" collapsed="false">
      <c r="A395" s="7"/>
      <c r="B395" s="8"/>
      <c r="C395" s="8"/>
      <c r="D395" s="8"/>
      <c r="E395" s="11"/>
      <c r="F395" s="8"/>
      <c r="G395" s="8"/>
      <c r="H395" s="6" t="str">
        <f aca="false">IF(A395="","",YEAR(A395))</f>
        <v/>
      </c>
      <c r="I395" s="6" t="str">
        <f aca="false">IF(A395="","",MONTH(A395))</f>
        <v/>
      </c>
    </row>
    <row r="396" customFormat="false" ht="15" hidden="false" customHeight="false" outlineLevel="0" collapsed="false">
      <c r="A396" s="7"/>
      <c r="B396" s="8"/>
      <c r="C396" s="8"/>
      <c r="D396" s="8"/>
      <c r="E396" s="11"/>
      <c r="F396" s="8"/>
      <c r="G396" s="8"/>
      <c r="H396" s="6" t="str">
        <f aca="false">IF(A396="","",YEAR(A396))</f>
        <v/>
      </c>
      <c r="I396" s="6" t="str">
        <f aca="false">IF(A396="","",MONTH(A396))</f>
        <v/>
      </c>
    </row>
    <row r="397" customFormat="false" ht="15" hidden="false" customHeight="false" outlineLevel="0" collapsed="false">
      <c r="A397" s="7"/>
      <c r="B397" s="8"/>
      <c r="C397" s="8"/>
      <c r="D397" s="8"/>
      <c r="E397" s="11"/>
      <c r="F397" s="8"/>
      <c r="G397" s="8"/>
      <c r="H397" s="6" t="str">
        <f aca="false">IF(A397="","",YEAR(A397))</f>
        <v/>
      </c>
      <c r="I397" s="6" t="str">
        <f aca="false">IF(A397="","",MONTH(A397))</f>
        <v/>
      </c>
    </row>
    <row r="398" customFormat="false" ht="15" hidden="false" customHeight="false" outlineLevel="0" collapsed="false">
      <c r="A398" s="7"/>
      <c r="B398" s="8"/>
      <c r="C398" s="8"/>
      <c r="D398" s="8"/>
      <c r="E398" s="11"/>
      <c r="F398" s="8"/>
      <c r="G398" s="8"/>
      <c r="H398" s="6" t="str">
        <f aca="false">IF(A398="","",YEAR(A398))</f>
        <v/>
      </c>
      <c r="I398" s="6" t="str">
        <f aca="false">IF(A398="","",MONTH(A398))</f>
        <v/>
      </c>
    </row>
    <row r="399" customFormat="false" ht="15" hidden="false" customHeight="false" outlineLevel="0" collapsed="false">
      <c r="A399" s="7"/>
      <c r="B399" s="8"/>
      <c r="C399" s="8"/>
      <c r="D399" s="8"/>
      <c r="E399" s="11"/>
      <c r="F399" s="8"/>
      <c r="G399" s="8"/>
      <c r="H399" s="6" t="str">
        <f aca="false">IF(A399="","",YEAR(A399))</f>
        <v/>
      </c>
      <c r="I399" s="6" t="str">
        <f aca="false">IF(A399="","",MONTH(A399))</f>
        <v/>
      </c>
    </row>
    <row r="400" customFormat="false" ht="15" hidden="false" customHeight="false" outlineLevel="0" collapsed="false">
      <c r="A400" s="7"/>
      <c r="B400" s="8"/>
      <c r="C400" s="8"/>
      <c r="D400" s="8"/>
      <c r="E400" s="11"/>
      <c r="F400" s="8"/>
      <c r="G400" s="8"/>
      <c r="H400" s="6" t="str">
        <f aca="false">IF(A400="","",YEAR(A400))</f>
        <v/>
      </c>
      <c r="I400" s="6" t="str">
        <f aca="false">IF(A400="","",MONTH(A400))</f>
        <v/>
      </c>
    </row>
    <row r="401" customFormat="false" ht="15" hidden="false" customHeight="false" outlineLevel="0" collapsed="false">
      <c r="A401" s="7"/>
      <c r="B401" s="8"/>
      <c r="C401" s="8"/>
      <c r="D401" s="8"/>
      <c r="E401" s="11"/>
      <c r="F401" s="8"/>
      <c r="G401" s="8"/>
      <c r="H401" s="6" t="str">
        <f aca="false">IF(A401="","",YEAR(A401))</f>
        <v/>
      </c>
      <c r="I401" s="6" t="str">
        <f aca="false">IF(A401="","",MONTH(A401))</f>
        <v/>
      </c>
    </row>
    <row r="402" customFormat="false" ht="15" hidden="false" customHeight="false" outlineLevel="0" collapsed="false">
      <c r="A402" s="7"/>
      <c r="B402" s="8"/>
      <c r="C402" s="8"/>
      <c r="D402" s="8"/>
      <c r="E402" s="11"/>
      <c r="F402" s="8"/>
      <c r="G402" s="8"/>
      <c r="H402" s="6" t="str">
        <f aca="false">IF(A402="","",YEAR(A402))</f>
        <v/>
      </c>
      <c r="I402" s="6" t="str">
        <f aca="false">IF(A402="","",MONTH(A402))</f>
        <v/>
      </c>
    </row>
    <row r="403" customFormat="false" ht="15" hidden="false" customHeight="false" outlineLevel="0" collapsed="false">
      <c r="A403" s="7"/>
      <c r="B403" s="8"/>
      <c r="C403" s="8"/>
      <c r="D403" s="8"/>
      <c r="E403" s="11"/>
      <c r="F403" s="8"/>
      <c r="G403" s="8"/>
      <c r="H403" s="6" t="str">
        <f aca="false">IF(A403="","",YEAR(A403))</f>
        <v/>
      </c>
      <c r="I403" s="6" t="str">
        <f aca="false">IF(A403="","",MONTH(A403))</f>
        <v/>
      </c>
    </row>
    <row r="404" customFormat="false" ht="15" hidden="false" customHeight="false" outlineLevel="0" collapsed="false">
      <c r="A404" s="7"/>
      <c r="B404" s="8"/>
      <c r="C404" s="8"/>
      <c r="D404" s="8"/>
      <c r="E404" s="11"/>
      <c r="F404" s="8"/>
      <c r="G404" s="8"/>
      <c r="H404" s="6" t="str">
        <f aca="false">IF(A404="","",YEAR(A404))</f>
        <v/>
      </c>
      <c r="I404" s="6" t="str">
        <f aca="false">IF(A404="","",MONTH(A404))</f>
        <v/>
      </c>
    </row>
    <row r="405" customFormat="false" ht="15" hidden="false" customHeight="false" outlineLevel="0" collapsed="false">
      <c r="A405" s="7"/>
      <c r="B405" s="8"/>
      <c r="C405" s="8"/>
      <c r="D405" s="8"/>
      <c r="E405" s="11"/>
      <c r="F405" s="8"/>
      <c r="G405" s="8"/>
      <c r="H405" s="6" t="str">
        <f aca="false">IF(A405="","",YEAR(A405))</f>
        <v/>
      </c>
      <c r="I405" s="6" t="str">
        <f aca="false">IF(A405="","",MONTH(A405))</f>
        <v/>
      </c>
    </row>
    <row r="406" customFormat="false" ht="15" hidden="false" customHeight="false" outlineLevel="0" collapsed="false">
      <c r="A406" s="7"/>
      <c r="B406" s="8"/>
      <c r="C406" s="8"/>
      <c r="D406" s="8"/>
      <c r="E406" s="11"/>
      <c r="F406" s="8"/>
      <c r="G406" s="8"/>
      <c r="H406" s="6" t="str">
        <f aca="false">IF(A406="","",YEAR(A406))</f>
        <v/>
      </c>
      <c r="I406" s="6" t="str">
        <f aca="false">IF(A406="","",MONTH(A406))</f>
        <v/>
      </c>
    </row>
    <row r="407" customFormat="false" ht="15" hidden="false" customHeight="false" outlineLevel="0" collapsed="false">
      <c r="A407" s="7"/>
      <c r="B407" s="8"/>
      <c r="C407" s="8"/>
      <c r="D407" s="8"/>
      <c r="E407" s="11"/>
      <c r="F407" s="8"/>
      <c r="G407" s="8"/>
      <c r="H407" s="6" t="str">
        <f aca="false">IF(A407="","",YEAR(A407))</f>
        <v/>
      </c>
      <c r="I407" s="6" t="str">
        <f aca="false">IF(A407="","",MONTH(A407))</f>
        <v/>
      </c>
    </row>
    <row r="408" customFormat="false" ht="15" hidden="false" customHeight="false" outlineLevel="0" collapsed="false">
      <c r="A408" s="7"/>
      <c r="B408" s="8"/>
      <c r="C408" s="8"/>
      <c r="D408" s="8"/>
      <c r="E408" s="11"/>
      <c r="F408" s="8"/>
      <c r="G408" s="8"/>
      <c r="H408" s="6" t="str">
        <f aca="false">IF(A408="","",YEAR(A408))</f>
        <v/>
      </c>
      <c r="I408" s="6" t="str">
        <f aca="false">IF(A408="","",MONTH(A408))</f>
        <v/>
      </c>
    </row>
    <row r="409" customFormat="false" ht="15" hidden="false" customHeight="false" outlineLevel="0" collapsed="false">
      <c r="A409" s="7"/>
      <c r="B409" s="8"/>
      <c r="C409" s="8"/>
      <c r="D409" s="8"/>
      <c r="E409" s="11"/>
      <c r="F409" s="8"/>
      <c r="G409" s="8"/>
      <c r="H409" s="6" t="str">
        <f aca="false">IF(A409="","",YEAR(A409))</f>
        <v/>
      </c>
      <c r="I409" s="6" t="str">
        <f aca="false">IF(A409="","",MONTH(A409))</f>
        <v/>
      </c>
    </row>
    <row r="410" customFormat="false" ht="15" hidden="false" customHeight="false" outlineLevel="0" collapsed="false">
      <c r="A410" s="7"/>
      <c r="B410" s="8"/>
      <c r="C410" s="8"/>
      <c r="D410" s="8"/>
      <c r="E410" s="11"/>
      <c r="F410" s="8"/>
      <c r="G410" s="8"/>
      <c r="H410" s="6" t="str">
        <f aca="false">IF(A410="","",YEAR(A410))</f>
        <v/>
      </c>
      <c r="I410" s="6" t="str">
        <f aca="false">IF(A410="","",MONTH(A410))</f>
        <v/>
      </c>
    </row>
    <row r="411" customFormat="false" ht="15" hidden="false" customHeight="false" outlineLevel="0" collapsed="false">
      <c r="A411" s="7"/>
      <c r="B411" s="8"/>
      <c r="C411" s="8"/>
      <c r="D411" s="8"/>
      <c r="E411" s="11"/>
      <c r="F411" s="8"/>
      <c r="G411" s="8"/>
      <c r="H411" s="6" t="str">
        <f aca="false">IF(A411="","",YEAR(A411))</f>
        <v/>
      </c>
      <c r="I411" s="6" t="str">
        <f aca="false">IF(A411="","",MONTH(A411))</f>
        <v/>
      </c>
    </row>
    <row r="412" customFormat="false" ht="15" hidden="false" customHeight="false" outlineLevel="0" collapsed="false">
      <c r="A412" s="7"/>
      <c r="B412" s="8"/>
      <c r="C412" s="8"/>
      <c r="D412" s="8"/>
      <c r="E412" s="11"/>
      <c r="F412" s="8"/>
      <c r="G412" s="8"/>
      <c r="H412" s="6" t="str">
        <f aca="false">IF(A412="","",YEAR(A412))</f>
        <v/>
      </c>
      <c r="I412" s="6" t="str">
        <f aca="false">IF(A412="","",MONTH(A412))</f>
        <v/>
      </c>
    </row>
    <row r="413" customFormat="false" ht="15" hidden="false" customHeight="false" outlineLevel="0" collapsed="false">
      <c r="A413" s="7"/>
      <c r="B413" s="8"/>
      <c r="C413" s="8"/>
      <c r="D413" s="8"/>
      <c r="E413" s="11"/>
      <c r="F413" s="8"/>
      <c r="G413" s="8"/>
      <c r="H413" s="6" t="str">
        <f aca="false">IF(A413="","",YEAR(A413))</f>
        <v/>
      </c>
      <c r="I413" s="6" t="str">
        <f aca="false">IF(A413="","",MONTH(A413))</f>
        <v/>
      </c>
    </row>
    <row r="414" customFormat="false" ht="15" hidden="false" customHeight="false" outlineLevel="0" collapsed="false">
      <c r="A414" s="7"/>
      <c r="B414" s="8"/>
      <c r="C414" s="8"/>
      <c r="D414" s="8"/>
      <c r="E414" s="11"/>
      <c r="F414" s="8"/>
      <c r="G414" s="8"/>
      <c r="H414" s="6" t="str">
        <f aca="false">IF(A414="","",YEAR(A414))</f>
        <v/>
      </c>
      <c r="I414" s="6" t="str">
        <f aca="false">IF(A414="","",MONTH(A414))</f>
        <v/>
      </c>
    </row>
    <row r="415" customFormat="false" ht="15" hidden="false" customHeight="false" outlineLevel="0" collapsed="false">
      <c r="A415" s="7"/>
      <c r="B415" s="8"/>
      <c r="C415" s="8"/>
      <c r="D415" s="8"/>
      <c r="E415" s="11"/>
      <c r="F415" s="8"/>
      <c r="G415" s="8"/>
      <c r="H415" s="6" t="str">
        <f aca="false">IF(A415="","",YEAR(A415))</f>
        <v/>
      </c>
      <c r="I415" s="6" t="str">
        <f aca="false">IF(A415="","",MONTH(A415))</f>
        <v/>
      </c>
    </row>
    <row r="416" customFormat="false" ht="15" hidden="false" customHeight="false" outlineLevel="0" collapsed="false">
      <c r="A416" s="7"/>
      <c r="B416" s="8"/>
      <c r="C416" s="8"/>
      <c r="D416" s="8"/>
      <c r="E416" s="11"/>
      <c r="F416" s="8"/>
      <c r="G416" s="8"/>
      <c r="H416" s="6" t="str">
        <f aca="false">IF(A416="","",YEAR(A416))</f>
        <v/>
      </c>
      <c r="I416" s="6" t="str">
        <f aca="false">IF(A416="","",MONTH(A416))</f>
        <v/>
      </c>
    </row>
    <row r="417" customFormat="false" ht="15" hidden="false" customHeight="false" outlineLevel="0" collapsed="false">
      <c r="A417" s="7"/>
      <c r="B417" s="8"/>
      <c r="C417" s="8"/>
      <c r="D417" s="8"/>
      <c r="E417" s="11"/>
      <c r="F417" s="8"/>
      <c r="G417" s="8"/>
      <c r="H417" s="6" t="str">
        <f aca="false">IF(A417="","",YEAR(A417))</f>
        <v/>
      </c>
      <c r="I417" s="6" t="str">
        <f aca="false">IF(A417="","",MONTH(A417))</f>
        <v/>
      </c>
    </row>
    <row r="418" customFormat="false" ht="15" hidden="false" customHeight="false" outlineLevel="0" collapsed="false">
      <c r="A418" s="7"/>
      <c r="B418" s="8"/>
      <c r="C418" s="8"/>
      <c r="D418" s="8"/>
      <c r="E418" s="11"/>
      <c r="F418" s="8"/>
      <c r="G418" s="8"/>
      <c r="H418" s="6" t="str">
        <f aca="false">IF(A418="","",YEAR(A418))</f>
        <v/>
      </c>
      <c r="I418" s="6" t="str">
        <f aca="false">IF(A418="","",MONTH(A418))</f>
        <v/>
      </c>
    </row>
    <row r="419" customFormat="false" ht="15" hidden="false" customHeight="false" outlineLevel="0" collapsed="false">
      <c r="A419" s="7"/>
      <c r="B419" s="8"/>
      <c r="C419" s="8"/>
      <c r="D419" s="8"/>
      <c r="E419" s="11"/>
      <c r="F419" s="8"/>
      <c r="G419" s="8"/>
      <c r="H419" s="6" t="str">
        <f aca="false">IF(A419="","",YEAR(A419))</f>
        <v/>
      </c>
      <c r="I419" s="6" t="str">
        <f aca="false">IF(A419="","",MONTH(A419))</f>
        <v/>
      </c>
    </row>
    <row r="420" customFormat="false" ht="15" hidden="false" customHeight="false" outlineLevel="0" collapsed="false">
      <c r="A420" s="7"/>
      <c r="B420" s="8"/>
      <c r="C420" s="8"/>
      <c r="D420" s="8"/>
      <c r="E420" s="11"/>
      <c r="F420" s="8"/>
      <c r="G420" s="8"/>
      <c r="H420" s="6" t="str">
        <f aca="false">IF(A420="","",YEAR(A420))</f>
        <v/>
      </c>
      <c r="I420" s="6" t="str">
        <f aca="false">IF(A420="","",MONTH(A420))</f>
        <v/>
      </c>
    </row>
    <row r="421" customFormat="false" ht="15" hidden="false" customHeight="false" outlineLevel="0" collapsed="false">
      <c r="A421" s="7"/>
      <c r="B421" s="8"/>
      <c r="C421" s="8"/>
      <c r="D421" s="8"/>
      <c r="E421" s="11"/>
      <c r="F421" s="8"/>
      <c r="G421" s="8"/>
      <c r="H421" s="6" t="str">
        <f aca="false">IF(A421="","",YEAR(A421))</f>
        <v/>
      </c>
      <c r="I421" s="6" t="str">
        <f aca="false">IF(A421="","",MONTH(A421))</f>
        <v/>
      </c>
    </row>
    <row r="422" customFormat="false" ht="15" hidden="false" customHeight="false" outlineLevel="0" collapsed="false">
      <c r="A422" s="7"/>
      <c r="B422" s="8"/>
      <c r="C422" s="8"/>
      <c r="D422" s="8"/>
      <c r="E422" s="11"/>
      <c r="F422" s="8"/>
      <c r="G422" s="8"/>
      <c r="H422" s="6" t="str">
        <f aca="false">IF(A422="","",YEAR(A422))</f>
        <v/>
      </c>
      <c r="I422" s="6" t="str">
        <f aca="false">IF(A422="","",MONTH(A422))</f>
        <v/>
      </c>
    </row>
    <row r="423" customFormat="false" ht="15" hidden="false" customHeight="false" outlineLevel="0" collapsed="false">
      <c r="A423" s="7"/>
      <c r="B423" s="8"/>
      <c r="C423" s="8"/>
      <c r="D423" s="8"/>
      <c r="E423" s="11"/>
      <c r="F423" s="8"/>
      <c r="G423" s="8"/>
      <c r="H423" s="6" t="str">
        <f aca="false">IF(A423="","",YEAR(A423))</f>
        <v/>
      </c>
      <c r="I423" s="6" t="str">
        <f aca="false">IF(A423="","",MONTH(A423))</f>
        <v/>
      </c>
    </row>
    <row r="424" customFormat="false" ht="15" hidden="false" customHeight="false" outlineLevel="0" collapsed="false">
      <c r="A424" s="7"/>
      <c r="B424" s="8"/>
      <c r="C424" s="8"/>
      <c r="D424" s="8"/>
      <c r="E424" s="11"/>
      <c r="F424" s="8"/>
      <c r="G424" s="8"/>
      <c r="H424" s="6" t="str">
        <f aca="false">IF(A424="","",YEAR(A424))</f>
        <v/>
      </c>
      <c r="I424" s="6" t="str">
        <f aca="false">IF(A424="","",MONTH(A424))</f>
        <v/>
      </c>
    </row>
    <row r="425" customFormat="false" ht="15" hidden="false" customHeight="false" outlineLevel="0" collapsed="false">
      <c r="A425" s="7"/>
      <c r="B425" s="8"/>
      <c r="C425" s="8"/>
      <c r="D425" s="8"/>
      <c r="E425" s="11"/>
      <c r="F425" s="8"/>
      <c r="G425" s="8"/>
      <c r="H425" s="6" t="str">
        <f aca="false">IF(A425="","",YEAR(A425))</f>
        <v/>
      </c>
      <c r="I425" s="6" t="str">
        <f aca="false">IF(A425="","",MONTH(A425))</f>
        <v/>
      </c>
    </row>
    <row r="426" customFormat="false" ht="15" hidden="false" customHeight="false" outlineLevel="0" collapsed="false">
      <c r="A426" s="7"/>
      <c r="B426" s="8"/>
      <c r="C426" s="8"/>
      <c r="D426" s="8"/>
      <c r="E426" s="11"/>
      <c r="F426" s="8"/>
      <c r="G426" s="8"/>
      <c r="H426" s="6" t="str">
        <f aca="false">IF(A426="","",YEAR(A426))</f>
        <v/>
      </c>
      <c r="I426" s="6" t="str">
        <f aca="false">IF(A426="","",MONTH(A426))</f>
        <v/>
      </c>
    </row>
    <row r="427" customFormat="false" ht="15" hidden="false" customHeight="false" outlineLevel="0" collapsed="false">
      <c r="A427" s="7"/>
      <c r="B427" s="8"/>
      <c r="C427" s="8"/>
      <c r="D427" s="8"/>
      <c r="E427" s="11"/>
      <c r="F427" s="8"/>
      <c r="G427" s="8"/>
      <c r="H427" s="6" t="str">
        <f aca="false">IF(A427="","",YEAR(A427))</f>
        <v/>
      </c>
      <c r="I427" s="6" t="str">
        <f aca="false">IF(A427="","",MONTH(A427))</f>
        <v/>
      </c>
    </row>
    <row r="428" customFormat="false" ht="15" hidden="false" customHeight="false" outlineLevel="0" collapsed="false">
      <c r="A428" s="7"/>
      <c r="B428" s="8"/>
      <c r="C428" s="8"/>
      <c r="D428" s="8"/>
      <c r="E428" s="11"/>
      <c r="F428" s="8"/>
      <c r="G428" s="8"/>
      <c r="H428" s="6" t="str">
        <f aca="false">IF(A428="","",YEAR(A428))</f>
        <v/>
      </c>
      <c r="I428" s="6" t="str">
        <f aca="false">IF(A428="","",MONTH(A428))</f>
        <v/>
      </c>
    </row>
    <row r="429" customFormat="false" ht="15" hidden="false" customHeight="false" outlineLevel="0" collapsed="false">
      <c r="A429" s="7"/>
      <c r="B429" s="8"/>
      <c r="C429" s="8"/>
      <c r="D429" s="8"/>
      <c r="E429" s="11"/>
      <c r="F429" s="8"/>
      <c r="G429" s="8"/>
      <c r="H429" s="6" t="str">
        <f aca="false">IF(A429="","",YEAR(A429))</f>
        <v/>
      </c>
      <c r="I429" s="6" t="str">
        <f aca="false">IF(A429="","",MONTH(A429))</f>
        <v/>
      </c>
    </row>
    <row r="430" customFormat="false" ht="15" hidden="false" customHeight="false" outlineLevel="0" collapsed="false">
      <c r="A430" s="7"/>
      <c r="B430" s="8"/>
      <c r="C430" s="8"/>
      <c r="D430" s="8"/>
      <c r="E430" s="11"/>
      <c r="F430" s="8"/>
      <c r="G430" s="8"/>
      <c r="H430" s="6" t="str">
        <f aca="false">IF(A430="","",YEAR(A430))</f>
        <v/>
      </c>
      <c r="I430" s="6" t="str">
        <f aca="false">IF(A430="","",MONTH(A430))</f>
        <v/>
      </c>
    </row>
    <row r="431" customFormat="false" ht="15" hidden="false" customHeight="false" outlineLevel="0" collapsed="false">
      <c r="A431" s="7"/>
      <c r="B431" s="8"/>
      <c r="C431" s="8"/>
      <c r="D431" s="8"/>
      <c r="E431" s="11"/>
      <c r="F431" s="8"/>
      <c r="G431" s="8"/>
      <c r="H431" s="6" t="str">
        <f aca="false">IF(A431="","",YEAR(A431))</f>
        <v/>
      </c>
      <c r="I431" s="6" t="str">
        <f aca="false">IF(A431="","",MONTH(A431))</f>
        <v/>
      </c>
    </row>
    <row r="432" customFormat="false" ht="15" hidden="false" customHeight="false" outlineLevel="0" collapsed="false">
      <c r="A432" s="7"/>
      <c r="B432" s="8"/>
      <c r="C432" s="8"/>
      <c r="D432" s="8"/>
      <c r="E432" s="11"/>
      <c r="F432" s="8"/>
      <c r="G432" s="8"/>
      <c r="H432" s="6" t="str">
        <f aca="false">IF(A432="","",YEAR(A432))</f>
        <v/>
      </c>
      <c r="I432" s="6" t="str">
        <f aca="false">IF(A432="","",MONTH(A432))</f>
        <v/>
      </c>
    </row>
    <row r="433" customFormat="false" ht="15" hidden="false" customHeight="false" outlineLevel="0" collapsed="false">
      <c r="A433" s="7"/>
      <c r="B433" s="8"/>
      <c r="C433" s="8"/>
      <c r="D433" s="8"/>
      <c r="E433" s="11"/>
      <c r="F433" s="8"/>
      <c r="G433" s="8"/>
      <c r="H433" s="6" t="str">
        <f aca="false">IF(A433="","",YEAR(A433))</f>
        <v/>
      </c>
      <c r="I433" s="6" t="str">
        <f aca="false">IF(A433="","",MONTH(A433))</f>
        <v/>
      </c>
    </row>
    <row r="434" customFormat="false" ht="15" hidden="false" customHeight="false" outlineLevel="0" collapsed="false">
      <c r="A434" s="7"/>
      <c r="B434" s="8"/>
      <c r="C434" s="8"/>
      <c r="D434" s="8"/>
      <c r="E434" s="11"/>
      <c r="F434" s="8"/>
      <c r="G434" s="8"/>
      <c r="H434" s="6" t="str">
        <f aca="false">IF(A434="","",YEAR(A434))</f>
        <v/>
      </c>
      <c r="I434" s="6" t="str">
        <f aca="false">IF(A434="","",MONTH(A434))</f>
        <v/>
      </c>
    </row>
    <row r="435" customFormat="false" ht="15" hidden="false" customHeight="false" outlineLevel="0" collapsed="false">
      <c r="A435" s="7"/>
      <c r="B435" s="8"/>
      <c r="C435" s="8"/>
      <c r="D435" s="8"/>
      <c r="E435" s="11"/>
      <c r="F435" s="8"/>
      <c r="G435" s="8"/>
      <c r="H435" s="6" t="str">
        <f aca="false">IF(A435="","",YEAR(A435))</f>
        <v/>
      </c>
      <c r="I435" s="6" t="str">
        <f aca="false">IF(A435="","",MONTH(A435))</f>
        <v/>
      </c>
    </row>
    <row r="436" customFormat="false" ht="15" hidden="false" customHeight="false" outlineLevel="0" collapsed="false">
      <c r="A436" s="7"/>
      <c r="B436" s="8"/>
      <c r="C436" s="8"/>
      <c r="D436" s="8"/>
      <c r="E436" s="11"/>
      <c r="F436" s="8"/>
      <c r="G436" s="8"/>
      <c r="H436" s="6" t="str">
        <f aca="false">IF(A436="","",YEAR(A436))</f>
        <v/>
      </c>
      <c r="I436" s="6" t="str">
        <f aca="false">IF(A436="","",MONTH(A436))</f>
        <v/>
      </c>
    </row>
    <row r="437" customFormat="false" ht="15" hidden="false" customHeight="false" outlineLevel="0" collapsed="false">
      <c r="A437" s="7"/>
      <c r="B437" s="8"/>
      <c r="C437" s="8"/>
      <c r="D437" s="8"/>
      <c r="E437" s="11"/>
      <c r="F437" s="8"/>
      <c r="G437" s="8"/>
      <c r="H437" s="6" t="str">
        <f aca="false">IF(A437="","",YEAR(A437))</f>
        <v/>
      </c>
      <c r="I437" s="6" t="str">
        <f aca="false">IF(A437="","",MONTH(A437))</f>
        <v/>
      </c>
    </row>
    <row r="438" customFormat="false" ht="15" hidden="false" customHeight="false" outlineLevel="0" collapsed="false">
      <c r="A438" s="7"/>
      <c r="B438" s="8"/>
      <c r="C438" s="8"/>
      <c r="D438" s="8"/>
      <c r="E438" s="11"/>
      <c r="F438" s="8"/>
      <c r="G438" s="8"/>
      <c r="H438" s="6" t="str">
        <f aca="false">IF(A438="","",YEAR(A438))</f>
        <v/>
      </c>
      <c r="I438" s="6" t="str">
        <f aca="false">IF(A438="","",MONTH(A438))</f>
        <v/>
      </c>
    </row>
    <row r="439" customFormat="false" ht="15" hidden="false" customHeight="false" outlineLevel="0" collapsed="false">
      <c r="A439" s="7"/>
      <c r="B439" s="8"/>
      <c r="C439" s="8"/>
      <c r="D439" s="8"/>
      <c r="E439" s="11"/>
      <c r="F439" s="8"/>
      <c r="G439" s="8"/>
      <c r="H439" s="6" t="str">
        <f aca="false">IF(A439="","",YEAR(A439))</f>
        <v/>
      </c>
      <c r="I439" s="6" t="str">
        <f aca="false">IF(A439="","",MONTH(A439))</f>
        <v/>
      </c>
    </row>
    <row r="440" customFormat="false" ht="15" hidden="false" customHeight="false" outlineLevel="0" collapsed="false">
      <c r="A440" s="7"/>
      <c r="B440" s="8"/>
      <c r="C440" s="8"/>
      <c r="D440" s="8"/>
      <c r="E440" s="11"/>
      <c r="F440" s="8"/>
      <c r="G440" s="8"/>
      <c r="H440" s="6" t="str">
        <f aca="false">IF(A440="","",YEAR(A440))</f>
        <v/>
      </c>
      <c r="I440" s="6" t="str">
        <f aca="false">IF(A440="","",MONTH(A440))</f>
        <v/>
      </c>
    </row>
    <row r="441" customFormat="false" ht="15" hidden="false" customHeight="false" outlineLevel="0" collapsed="false">
      <c r="A441" s="7"/>
      <c r="B441" s="8"/>
      <c r="C441" s="8"/>
      <c r="D441" s="8"/>
      <c r="E441" s="11"/>
      <c r="F441" s="8"/>
      <c r="G441" s="8"/>
      <c r="H441" s="6" t="str">
        <f aca="false">IF(A441="","",YEAR(A441))</f>
        <v/>
      </c>
      <c r="I441" s="6" t="str">
        <f aca="false">IF(A441="","",MONTH(A441))</f>
        <v/>
      </c>
    </row>
    <row r="442" customFormat="false" ht="15" hidden="false" customHeight="false" outlineLevel="0" collapsed="false">
      <c r="A442" s="7"/>
      <c r="B442" s="8"/>
      <c r="C442" s="8"/>
      <c r="D442" s="8"/>
      <c r="E442" s="11"/>
      <c r="F442" s="8"/>
      <c r="G442" s="8"/>
      <c r="H442" s="6" t="str">
        <f aca="false">IF(A442="","",YEAR(A442))</f>
        <v/>
      </c>
      <c r="I442" s="6" t="str">
        <f aca="false">IF(A442="","",MONTH(A442))</f>
        <v/>
      </c>
    </row>
    <row r="443" customFormat="false" ht="15" hidden="false" customHeight="false" outlineLevel="0" collapsed="false">
      <c r="A443" s="7"/>
      <c r="B443" s="8"/>
      <c r="C443" s="8"/>
      <c r="D443" s="8"/>
      <c r="E443" s="11"/>
      <c r="F443" s="8"/>
      <c r="G443" s="8"/>
      <c r="H443" s="6" t="str">
        <f aca="false">IF(A443="","",YEAR(A443))</f>
        <v/>
      </c>
      <c r="I443" s="6" t="str">
        <f aca="false">IF(A443="","",MONTH(A443))</f>
        <v/>
      </c>
    </row>
    <row r="444" customFormat="false" ht="15" hidden="false" customHeight="false" outlineLevel="0" collapsed="false">
      <c r="A444" s="7"/>
      <c r="B444" s="8"/>
      <c r="C444" s="8"/>
      <c r="D444" s="8"/>
      <c r="E444" s="11"/>
      <c r="F444" s="8"/>
      <c r="G444" s="8"/>
      <c r="H444" s="6" t="str">
        <f aca="false">IF(A444="","",YEAR(A444))</f>
        <v/>
      </c>
      <c r="I444" s="6" t="str">
        <f aca="false">IF(A444="","",MONTH(A444))</f>
        <v/>
      </c>
    </row>
    <row r="445" customFormat="false" ht="15" hidden="false" customHeight="false" outlineLevel="0" collapsed="false">
      <c r="A445" s="7"/>
      <c r="B445" s="8"/>
      <c r="C445" s="8"/>
      <c r="D445" s="8"/>
      <c r="E445" s="11"/>
      <c r="F445" s="8"/>
      <c r="G445" s="8"/>
      <c r="H445" s="6" t="str">
        <f aca="false">IF(A445="","",YEAR(A445))</f>
        <v/>
      </c>
      <c r="I445" s="6" t="str">
        <f aca="false">IF(A445="","",MONTH(A445))</f>
        <v/>
      </c>
    </row>
    <row r="446" customFormat="false" ht="15" hidden="false" customHeight="false" outlineLevel="0" collapsed="false">
      <c r="A446" s="7"/>
      <c r="B446" s="8"/>
      <c r="C446" s="8"/>
      <c r="D446" s="8"/>
      <c r="E446" s="11"/>
      <c r="F446" s="8"/>
      <c r="G446" s="8"/>
      <c r="H446" s="6" t="str">
        <f aca="false">IF(A446="","",YEAR(A446))</f>
        <v/>
      </c>
      <c r="I446" s="6" t="str">
        <f aca="false">IF(A446="","",MONTH(A446))</f>
        <v/>
      </c>
    </row>
    <row r="447" customFormat="false" ht="15" hidden="false" customHeight="false" outlineLevel="0" collapsed="false">
      <c r="A447" s="7"/>
      <c r="B447" s="8"/>
      <c r="C447" s="8"/>
      <c r="D447" s="8"/>
      <c r="E447" s="11"/>
      <c r="F447" s="8"/>
      <c r="G447" s="8"/>
      <c r="H447" s="6" t="str">
        <f aca="false">IF(A447="","",YEAR(A447))</f>
        <v/>
      </c>
      <c r="I447" s="6" t="str">
        <f aca="false">IF(A447="","",MONTH(A447))</f>
        <v/>
      </c>
    </row>
    <row r="448" customFormat="false" ht="15" hidden="false" customHeight="false" outlineLevel="0" collapsed="false">
      <c r="A448" s="7"/>
      <c r="B448" s="8"/>
      <c r="C448" s="8"/>
      <c r="D448" s="8"/>
      <c r="E448" s="11"/>
      <c r="F448" s="8"/>
      <c r="G448" s="8"/>
      <c r="H448" s="6" t="str">
        <f aca="false">IF(A448="","",YEAR(A448))</f>
        <v/>
      </c>
      <c r="I448" s="6" t="str">
        <f aca="false">IF(A448="","",MONTH(A448))</f>
        <v/>
      </c>
    </row>
    <row r="449" customFormat="false" ht="15" hidden="false" customHeight="false" outlineLevel="0" collapsed="false">
      <c r="A449" s="7"/>
      <c r="B449" s="8"/>
      <c r="C449" s="8"/>
      <c r="D449" s="8"/>
      <c r="E449" s="11"/>
      <c r="F449" s="8"/>
      <c r="G449" s="8"/>
      <c r="H449" s="6" t="str">
        <f aca="false">IF(A449="","",YEAR(A449))</f>
        <v/>
      </c>
      <c r="I449" s="6" t="str">
        <f aca="false">IF(A449="","",MONTH(A449))</f>
        <v/>
      </c>
    </row>
    <row r="450" customFormat="false" ht="15" hidden="false" customHeight="false" outlineLevel="0" collapsed="false">
      <c r="A450" s="7"/>
      <c r="B450" s="8"/>
      <c r="C450" s="8"/>
      <c r="D450" s="8"/>
      <c r="E450" s="11"/>
      <c r="F450" s="8"/>
      <c r="G450" s="8"/>
      <c r="H450" s="6" t="str">
        <f aca="false">IF(A450="","",YEAR(A450))</f>
        <v/>
      </c>
      <c r="I450" s="6" t="str">
        <f aca="false">IF(A450="","",MONTH(A450))</f>
        <v/>
      </c>
    </row>
    <row r="451" customFormat="false" ht="15" hidden="false" customHeight="false" outlineLevel="0" collapsed="false">
      <c r="A451" s="7"/>
      <c r="B451" s="8"/>
      <c r="C451" s="8"/>
      <c r="D451" s="8"/>
      <c r="E451" s="11"/>
      <c r="F451" s="8"/>
      <c r="G451" s="8"/>
      <c r="H451" s="6" t="str">
        <f aca="false">IF(A451="","",YEAR(A451))</f>
        <v/>
      </c>
      <c r="I451" s="6" t="str">
        <f aca="false">IF(A451="","",MONTH(A451))</f>
        <v/>
      </c>
    </row>
    <row r="452" customFormat="false" ht="15" hidden="false" customHeight="false" outlineLevel="0" collapsed="false">
      <c r="A452" s="7"/>
      <c r="B452" s="8"/>
      <c r="C452" s="8"/>
      <c r="D452" s="8"/>
      <c r="E452" s="11"/>
      <c r="F452" s="8"/>
      <c r="G452" s="8"/>
      <c r="H452" s="6" t="str">
        <f aca="false">IF(A452="","",YEAR(A452))</f>
        <v/>
      </c>
      <c r="I452" s="6" t="str">
        <f aca="false">IF(A452="","",MONTH(A452))</f>
        <v/>
      </c>
    </row>
    <row r="453" customFormat="false" ht="15" hidden="false" customHeight="false" outlineLevel="0" collapsed="false">
      <c r="A453" s="7"/>
      <c r="B453" s="8"/>
      <c r="C453" s="8"/>
      <c r="D453" s="8"/>
      <c r="E453" s="11"/>
      <c r="F453" s="8"/>
      <c r="G453" s="8"/>
      <c r="H453" s="6" t="str">
        <f aca="false">IF(A453="","",YEAR(A453))</f>
        <v/>
      </c>
      <c r="I453" s="6" t="str">
        <f aca="false">IF(A453="","",MONTH(A453))</f>
        <v/>
      </c>
    </row>
    <row r="454" customFormat="false" ht="15" hidden="false" customHeight="false" outlineLevel="0" collapsed="false">
      <c r="A454" s="7"/>
      <c r="B454" s="8"/>
      <c r="C454" s="8"/>
      <c r="D454" s="8"/>
      <c r="E454" s="11"/>
      <c r="F454" s="8"/>
      <c r="G454" s="8"/>
      <c r="H454" s="6" t="str">
        <f aca="false">IF(A454="","",YEAR(A454))</f>
        <v/>
      </c>
      <c r="I454" s="6" t="str">
        <f aca="false">IF(A454="","",MONTH(A454))</f>
        <v/>
      </c>
    </row>
    <row r="455" customFormat="false" ht="15" hidden="false" customHeight="false" outlineLevel="0" collapsed="false">
      <c r="A455" s="7"/>
      <c r="B455" s="8"/>
      <c r="C455" s="8"/>
      <c r="D455" s="8"/>
      <c r="E455" s="11"/>
      <c r="F455" s="8"/>
      <c r="G455" s="8"/>
      <c r="H455" s="6" t="str">
        <f aca="false">IF(A455="","",YEAR(A455))</f>
        <v/>
      </c>
      <c r="I455" s="6" t="str">
        <f aca="false">IF(A455="","",MONTH(A455))</f>
        <v/>
      </c>
    </row>
    <row r="456" customFormat="false" ht="15" hidden="false" customHeight="false" outlineLevel="0" collapsed="false">
      <c r="A456" s="7"/>
      <c r="B456" s="8"/>
      <c r="C456" s="8"/>
      <c r="D456" s="8"/>
      <c r="E456" s="11"/>
      <c r="F456" s="8"/>
      <c r="G456" s="8"/>
      <c r="H456" s="6" t="str">
        <f aca="false">IF(A456="","",YEAR(A456))</f>
        <v/>
      </c>
      <c r="I456" s="6" t="str">
        <f aca="false">IF(A456="","",MONTH(A456))</f>
        <v/>
      </c>
    </row>
    <row r="457" customFormat="false" ht="15" hidden="false" customHeight="false" outlineLevel="0" collapsed="false">
      <c r="A457" s="7"/>
      <c r="B457" s="8"/>
      <c r="C457" s="8"/>
      <c r="D457" s="8"/>
      <c r="E457" s="11"/>
      <c r="F457" s="8"/>
      <c r="G457" s="8"/>
      <c r="H457" s="6" t="str">
        <f aca="false">IF(A457="","",YEAR(A457))</f>
        <v/>
      </c>
      <c r="I457" s="6" t="str">
        <f aca="false">IF(A457="","",MONTH(A457))</f>
        <v/>
      </c>
    </row>
    <row r="458" customFormat="false" ht="15" hidden="false" customHeight="false" outlineLevel="0" collapsed="false">
      <c r="A458" s="7"/>
      <c r="B458" s="8"/>
      <c r="C458" s="8"/>
      <c r="D458" s="8"/>
      <c r="E458" s="11"/>
      <c r="F458" s="8"/>
      <c r="G458" s="8"/>
      <c r="H458" s="6" t="str">
        <f aca="false">IF(A458="","",YEAR(A458))</f>
        <v/>
      </c>
      <c r="I458" s="6" t="str">
        <f aca="false">IF(A458="","",MONTH(A458))</f>
        <v/>
      </c>
    </row>
    <row r="459" customFormat="false" ht="15" hidden="false" customHeight="false" outlineLevel="0" collapsed="false">
      <c r="A459" s="7"/>
      <c r="B459" s="8"/>
      <c r="C459" s="8"/>
      <c r="D459" s="8"/>
      <c r="E459" s="11"/>
      <c r="F459" s="8"/>
      <c r="G459" s="8"/>
      <c r="H459" s="6" t="str">
        <f aca="false">IF(A459="","",YEAR(A459))</f>
        <v/>
      </c>
      <c r="I459" s="6" t="str">
        <f aca="false">IF(A459="","",MONTH(A459))</f>
        <v/>
      </c>
    </row>
    <row r="460" customFormat="false" ht="15" hidden="false" customHeight="false" outlineLevel="0" collapsed="false">
      <c r="A460" s="7"/>
      <c r="B460" s="8"/>
      <c r="C460" s="8"/>
      <c r="D460" s="8"/>
      <c r="E460" s="11"/>
      <c r="F460" s="8"/>
      <c r="G460" s="8"/>
      <c r="H460" s="6" t="str">
        <f aca="false">IF(A460="","",YEAR(A460))</f>
        <v/>
      </c>
      <c r="I460" s="6" t="str">
        <f aca="false">IF(A460="","",MONTH(A460))</f>
        <v/>
      </c>
    </row>
    <row r="461" customFormat="false" ht="15" hidden="false" customHeight="false" outlineLevel="0" collapsed="false">
      <c r="A461" s="7"/>
      <c r="B461" s="8"/>
      <c r="C461" s="8"/>
      <c r="D461" s="8"/>
      <c r="E461" s="11"/>
      <c r="F461" s="8"/>
      <c r="G461" s="8"/>
      <c r="H461" s="6" t="str">
        <f aca="false">IF(A461="","",YEAR(A461))</f>
        <v/>
      </c>
      <c r="I461" s="6" t="str">
        <f aca="false">IF(A461="","",MONTH(A461))</f>
        <v/>
      </c>
    </row>
    <row r="462" customFormat="false" ht="15" hidden="false" customHeight="false" outlineLevel="0" collapsed="false">
      <c r="A462" s="7"/>
      <c r="B462" s="8"/>
      <c r="C462" s="8"/>
      <c r="D462" s="8"/>
      <c r="E462" s="11"/>
      <c r="F462" s="8"/>
      <c r="G462" s="8"/>
      <c r="H462" s="6" t="str">
        <f aca="false">IF(A462="","",YEAR(A462))</f>
        <v/>
      </c>
      <c r="I462" s="6" t="str">
        <f aca="false">IF(A462="","",MONTH(A462))</f>
        <v/>
      </c>
    </row>
    <row r="463" customFormat="false" ht="15" hidden="false" customHeight="false" outlineLevel="0" collapsed="false">
      <c r="A463" s="7"/>
      <c r="B463" s="8"/>
      <c r="C463" s="8"/>
      <c r="D463" s="8"/>
      <c r="E463" s="11"/>
      <c r="F463" s="8"/>
      <c r="G463" s="8"/>
      <c r="H463" s="6" t="str">
        <f aca="false">IF(A463="","",YEAR(A463))</f>
        <v/>
      </c>
      <c r="I463" s="6" t="str">
        <f aca="false">IF(A463="","",MONTH(A463))</f>
        <v/>
      </c>
    </row>
    <row r="464" customFormat="false" ht="15" hidden="false" customHeight="false" outlineLevel="0" collapsed="false">
      <c r="A464" s="7"/>
      <c r="B464" s="8"/>
      <c r="C464" s="8"/>
      <c r="D464" s="8"/>
      <c r="E464" s="11"/>
      <c r="F464" s="8"/>
      <c r="G464" s="8"/>
      <c r="H464" s="6" t="str">
        <f aca="false">IF(A464="","",YEAR(A464))</f>
        <v/>
      </c>
      <c r="I464" s="6" t="str">
        <f aca="false">IF(A464="","",MONTH(A464))</f>
        <v/>
      </c>
    </row>
    <row r="465" customFormat="false" ht="15" hidden="false" customHeight="false" outlineLevel="0" collapsed="false">
      <c r="A465" s="7"/>
      <c r="B465" s="8"/>
      <c r="C465" s="8"/>
      <c r="D465" s="8"/>
      <c r="E465" s="11"/>
      <c r="F465" s="8"/>
      <c r="G465" s="8"/>
      <c r="H465" s="6" t="str">
        <f aca="false">IF(A465="","",YEAR(A465))</f>
        <v/>
      </c>
      <c r="I465" s="6" t="str">
        <f aca="false">IF(A465="","",MONTH(A465))</f>
        <v/>
      </c>
    </row>
    <row r="466" customFormat="false" ht="15" hidden="false" customHeight="false" outlineLevel="0" collapsed="false">
      <c r="A466" s="7"/>
      <c r="B466" s="8"/>
      <c r="C466" s="8"/>
      <c r="D466" s="8"/>
      <c r="E466" s="11"/>
      <c r="F466" s="8"/>
      <c r="G466" s="8"/>
      <c r="H466" s="6" t="str">
        <f aca="false">IF(A466="","",YEAR(A466))</f>
        <v/>
      </c>
      <c r="I466" s="6" t="str">
        <f aca="false">IF(A466="","",MONTH(A466))</f>
        <v/>
      </c>
    </row>
    <row r="467" customFormat="false" ht="15" hidden="false" customHeight="false" outlineLevel="0" collapsed="false">
      <c r="A467" s="7"/>
      <c r="B467" s="8"/>
      <c r="C467" s="8"/>
      <c r="D467" s="8"/>
      <c r="E467" s="11"/>
      <c r="F467" s="8"/>
      <c r="G467" s="8"/>
      <c r="H467" s="6" t="str">
        <f aca="false">IF(A467="","",YEAR(A467))</f>
        <v/>
      </c>
      <c r="I467" s="6" t="str">
        <f aca="false">IF(A467="","",MONTH(A467))</f>
        <v/>
      </c>
    </row>
    <row r="468" customFormat="false" ht="15" hidden="false" customHeight="false" outlineLevel="0" collapsed="false">
      <c r="A468" s="7"/>
      <c r="B468" s="8"/>
      <c r="C468" s="8"/>
      <c r="D468" s="8"/>
      <c r="E468" s="11"/>
      <c r="F468" s="8"/>
      <c r="G468" s="8"/>
      <c r="H468" s="6" t="str">
        <f aca="false">IF(A468="","",YEAR(A468))</f>
        <v/>
      </c>
      <c r="I468" s="6" t="str">
        <f aca="false">IF(A468="","",MONTH(A468))</f>
        <v/>
      </c>
    </row>
    <row r="469" customFormat="false" ht="15" hidden="false" customHeight="false" outlineLevel="0" collapsed="false">
      <c r="A469" s="7"/>
      <c r="B469" s="8"/>
      <c r="C469" s="8"/>
      <c r="D469" s="8"/>
      <c r="E469" s="11"/>
      <c r="F469" s="8"/>
      <c r="G469" s="8"/>
      <c r="H469" s="6" t="str">
        <f aca="false">IF(A469="","",YEAR(A469))</f>
        <v/>
      </c>
      <c r="I469" s="6" t="str">
        <f aca="false">IF(A469="","",MONTH(A469))</f>
        <v/>
      </c>
    </row>
    <row r="470" customFormat="false" ht="15" hidden="false" customHeight="false" outlineLevel="0" collapsed="false">
      <c r="A470" s="7"/>
      <c r="B470" s="8"/>
      <c r="C470" s="8"/>
      <c r="D470" s="8"/>
      <c r="E470" s="11"/>
      <c r="F470" s="8"/>
      <c r="G470" s="8"/>
      <c r="H470" s="6" t="str">
        <f aca="false">IF(A470="","",YEAR(A470))</f>
        <v/>
      </c>
      <c r="I470" s="6" t="str">
        <f aca="false">IF(A470="","",MONTH(A470))</f>
        <v/>
      </c>
    </row>
    <row r="471" customFormat="false" ht="15" hidden="false" customHeight="false" outlineLevel="0" collapsed="false">
      <c r="A471" s="7"/>
      <c r="B471" s="8"/>
      <c r="C471" s="8"/>
      <c r="D471" s="8"/>
      <c r="E471" s="11"/>
      <c r="F471" s="8"/>
      <c r="G471" s="8"/>
      <c r="H471" s="6" t="str">
        <f aca="false">IF(A471="","",YEAR(A471))</f>
        <v/>
      </c>
      <c r="I471" s="6" t="str">
        <f aca="false">IF(A471="","",MONTH(A471))</f>
        <v/>
      </c>
    </row>
    <row r="472" customFormat="false" ht="15" hidden="false" customHeight="false" outlineLevel="0" collapsed="false">
      <c r="A472" s="7"/>
      <c r="B472" s="8"/>
      <c r="C472" s="8"/>
      <c r="D472" s="8"/>
      <c r="E472" s="11"/>
      <c r="F472" s="8"/>
      <c r="G472" s="8"/>
      <c r="H472" s="6" t="str">
        <f aca="false">IF(A472="","",YEAR(A472))</f>
        <v/>
      </c>
      <c r="I472" s="6" t="str">
        <f aca="false">IF(A472="","",MONTH(A472))</f>
        <v/>
      </c>
    </row>
    <row r="473" customFormat="false" ht="15" hidden="false" customHeight="false" outlineLevel="0" collapsed="false">
      <c r="A473" s="7"/>
      <c r="B473" s="8"/>
      <c r="C473" s="8"/>
      <c r="D473" s="8"/>
      <c r="E473" s="11"/>
      <c r="F473" s="8"/>
      <c r="G473" s="8"/>
      <c r="H473" s="6" t="str">
        <f aca="false">IF(A473="","",YEAR(A473))</f>
        <v/>
      </c>
      <c r="I473" s="6" t="str">
        <f aca="false">IF(A473="","",MONTH(A473))</f>
        <v/>
      </c>
    </row>
    <row r="474" customFormat="false" ht="15" hidden="false" customHeight="false" outlineLevel="0" collapsed="false">
      <c r="A474" s="7"/>
      <c r="B474" s="8"/>
      <c r="C474" s="8"/>
      <c r="D474" s="8"/>
      <c r="E474" s="11"/>
      <c r="F474" s="8"/>
      <c r="G474" s="8"/>
      <c r="H474" s="6" t="str">
        <f aca="false">IF(A474="","",YEAR(A474))</f>
        <v/>
      </c>
      <c r="I474" s="6" t="str">
        <f aca="false">IF(A474="","",MONTH(A474))</f>
        <v/>
      </c>
    </row>
    <row r="475" customFormat="false" ht="15" hidden="false" customHeight="false" outlineLevel="0" collapsed="false">
      <c r="A475" s="7"/>
      <c r="B475" s="8"/>
      <c r="C475" s="8"/>
      <c r="D475" s="8"/>
      <c r="E475" s="11"/>
      <c r="F475" s="8"/>
      <c r="G475" s="8"/>
      <c r="H475" s="6" t="str">
        <f aca="false">IF(A475="","",YEAR(A475))</f>
        <v/>
      </c>
      <c r="I475" s="6" t="str">
        <f aca="false">IF(A475="","",MONTH(A475))</f>
        <v/>
      </c>
    </row>
    <row r="476" customFormat="false" ht="15" hidden="false" customHeight="false" outlineLevel="0" collapsed="false">
      <c r="A476" s="7"/>
      <c r="B476" s="8"/>
      <c r="C476" s="8"/>
      <c r="D476" s="8"/>
      <c r="E476" s="11"/>
      <c r="F476" s="8"/>
      <c r="G476" s="8"/>
      <c r="H476" s="6" t="str">
        <f aca="false">IF(A476="","",YEAR(A476))</f>
        <v/>
      </c>
      <c r="I476" s="6" t="str">
        <f aca="false">IF(A476="","",MONTH(A476))</f>
        <v/>
      </c>
    </row>
    <row r="477" customFormat="false" ht="15" hidden="false" customHeight="false" outlineLevel="0" collapsed="false">
      <c r="A477" s="7"/>
      <c r="B477" s="8"/>
      <c r="C477" s="8"/>
      <c r="D477" s="8"/>
      <c r="E477" s="11"/>
      <c r="F477" s="8"/>
      <c r="G477" s="8"/>
      <c r="H477" s="6" t="str">
        <f aca="false">IF(A477="","",YEAR(A477))</f>
        <v/>
      </c>
      <c r="I477" s="6" t="str">
        <f aca="false">IF(A477="","",MONTH(A477))</f>
        <v/>
      </c>
    </row>
    <row r="478" customFormat="false" ht="15" hidden="false" customHeight="false" outlineLevel="0" collapsed="false">
      <c r="A478" s="7"/>
      <c r="B478" s="8"/>
      <c r="C478" s="8"/>
      <c r="D478" s="8"/>
      <c r="E478" s="11"/>
      <c r="F478" s="8"/>
      <c r="G478" s="8"/>
      <c r="H478" s="6" t="str">
        <f aca="false">IF(A478="","",YEAR(A478))</f>
        <v/>
      </c>
      <c r="I478" s="6" t="str">
        <f aca="false">IF(A478="","",MONTH(A478))</f>
        <v/>
      </c>
    </row>
    <row r="479" customFormat="false" ht="15" hidden="false" customHeight="false" outlineLevel="0" collapsed="false">
      <c r="A479" s="7"/>
      <c r="B479" s="8"/>
      <c r="C479" s="8"/>
      <c r="D479" s="8"/>
      <c r="E479" s="11"/>
      <c r="F479" s="8"/>
      <c r="G479" s="8"/>
      <c r="H479" s="6" t="str">
        <f aca="false">IF(A479="","",YEAR(A479))</f>
        <v/>
      </c>
      <c r="I479" s="6" t="str">
        <f aca="false">IF(A479="","",MONTH(A479))</f>
        <v/>
      </c>
    </row>
    <row r="480" customFormat="false" ht="15" hidden="false" customHeight="false" outlineLevel="0" collapsed="false">
      <c r="A480" s="7"/>
      <c r="B480" s="8"/>
      <c r="C480" s="8"/>
      <c r="D480" s="8"/>
      <c r="E480" s="11"/>
      <c r="F480" s="8"/>
      <c r="G480" s="8"/>
      <c r="H480" s="6" t="str">
        <f aca="false">IF(A480="","",YEAR(A480))</f>
        <v/>
      </c>
      <c r="I480" s="6" t="str">
        <f aca="false">IF(A480="","",MONTH(A480))</f>
        <v/>
      </c>
    </row>
    <row r="481" customFormat="false" ht="15" hidden="false" customHeight="false" outlineLevel="0" collapsed="false">
      <c r="A481" s="7"/>
      <c r="B481" s="8"/>
      <c r="C481" s="8"/>
      <c r="D481" s="8"/>
      <c r="E481" s="11"/>
      <c r="F481" s="8"/>
      <c r="G481" s="8"/>
      <c r="H481" s="6" t="str">
        <f aca="false">IF(A481="","",YEAR(A481))</f>
        <v/>
      </c>
      <c r="I481" s="6" t="str">
        <f aca="false">IF(A481="","",MONTH(A481))</f>
        <v/>
      </c>
    </row>
    <row r="482" customFormat="false" ht="15" hidden="false" customHeight="false" outlineLevel="0" collapsed="false">
      <c r="A482" s="7"/>
      <c r="B482" s="8"/>
      <c r="C482" s="8"/>
      <c r="D482" s="8"/>
      <c r="E482" s="11"/>
      <c r="F482" s="8"/>
      <c r="G482" s="8"/>
      <c r="H482" s="6" t="str">
        <f aca="false">IF(A482="","",YEAR(A482))</f>
        <v/>
      </c>
      <c r="I482" s="6" t="str">
        <f aca="false">IF(A482="","",MONTH(A482))</f>
        <v/>
      </c>
    </row>
    <row r="483" customFormat="false" ht="15" hidden="false" customHeight="false" outlineLevel="0" collapsed="false">
      <c r="A483" s="7"/>
      <c r="B483" s="8"/>
      <c r="C483" s="8"/>
      <c r="D483" s="8"/>
      <c r="E483" s="11"/>
      <c r="F483" s="8"/>
      <c r="G483" s="8"/>
      <c r="H483" s="6" t="str">
        <f aca="false">IF(A483="","",YEAR(A483))</f>
        <v/>
      </c>
      <c r="I483" s="6" t="str">
        <f aca="false">IF(A483="","",MONTH(A483))</f>
        <v/>
      </c>
    </row>
    <row r="484" customFormat="false" ht="15" hidden="false" customHeight="false" outlineLevel="0" collapsed="false">
      <c r="A484" s="7"/>
      <c r="B484" s="8"/>
      <c r="C484" s="8"/>
      <c r="D484" s="8"/>
      <c r="E484" s="11"/>
      <c r="F484" s="8"/>
      <c r="G484" s="8"/>
      <c r="H484" s="6" t="str">
        <f aca="false">IF(A484="","",YEAR(A484))</f>
        <v/>
      </c>
      <c r="I484" s="6" t="str">
        <f aca="false">IF(A484="","",MONTH(A484))</f>
        <v/>
      </c>
    </row>
    <row r="485" customFormat="false" ht="15" hidden="false" customHeight="false" outlineLevel="0" collapsed="false">
      <c r="A485" s="7"/>
      <c r="B485" s="8"/>
      <c r="C485" s="8"/>
      <c r="D485" s="8"/>
      <c r="E485" s="11"/>
      <c r="F485" s="8"/>
      <c r="G485" s="8"/>
      <c r="H485" s="6" t="str">
        <f aca="false">IF(A485="","",YEAR(A485))</f>
        <v/>
      </c>
      <c r="I485" s="6" t="str">
        <f aca="false">IF(A485="","",MONTH(A485))</f>
        <v/>
      </c>
    </row>
    <row r="486" customFormat="false" ht="15" hidden="false" customHeight="false" outlineLevel="0" collapsed="false">
      <c r="A486" s="7"/>
      <c r="B486" s="8"/>
      <c r="C486" s="8"/>
      <c r="D486" s="8"/>
      <c r="E486" s="11"/>
      <c r="F486" s="8"/>
      <c r="G486" s="8"/>
      <c r="H486" s="6" t="str">
        <f aca="false">IF(A486="","",YEAR(A486))</f>
        <v/>
      </c>
      <c r="I486" s="6" t="str">
        <f aca="false">IF(A486="","",MONTH(A486))</f>
        <v/>
      </c>
    </row>
    <row r="487" customFormat="false" ht="15" hidden="false" customHeight="false" outlineLevel="0" collapsed="false">
      <c r="A487" s="7"/>
      <c r="B487" s="8"/>
      <c r="C487" s="8"/>
      <c r="D487" s="8"/>
      <c r="E487" s="11"/>
      <c r="F487" s="8"/>
      <c r="G487" s="8"/>
      <c r="H487" s="6" t="str">
        <f aca="false">IF(A487="","",YEAR(A487))</f>
        <v/>
      </c>
      <c r="I487" s="6" t="str">
        <f aca="false">IF(A487="","",MONTH(A487))</f>
        <v/>
      </c>
    </row>
    <row r="488" customFormat="false" ht="15" hidden="false" customHeight="false" outlineLevel="0" collapsed="false">
      <c r="A488" s="7"/>
      <c r="B488" s="8"/>
      <c r="C488" s="8"/>
      <c r="D488" s="8"/>
      <c r="E488" s="11"/>
      <c r="F488" s="8"/>
      <c r="G488" s="8"/>
      <c r="H488" s="6" t="str">
        <f aca="false">IF(A488="","",YEAR(A488))</f>
        <v/>
      </c>
      <c r="I488" s="6" t="str">
        <f aca="false">IF(A488="","",MONTH(A488))</f>
        <v/>
      </c>
    </row>
    <row r="489" customFormat="false" ht="15" hidden="false" customHeight="false" outlineLevel="0" collapsed="false">
      <c r="A489" s="7"/>
      <c r="B489" s="8"/>
      <c r="C489" s="8"/>
      <c r="D489" s="8"/>
      <c r="E489" s="11"/>
      <c r="F489" s="8"/>
      <c r="G489" s="8"/>
      <c r="H489" s="6" t="str">
        <f aca="false">IF(A489="","",YEAR(A489))</f>
        <v/>
      </c>
      <c r="I489" s="6" t="str">
        <f aca="false">IF(A489="","",MONTH(A489))</f>
        <v/>
      </c>
    </row>
    <row r="490" customFormat="false" ht="15" hidden="false" customHeight="false" outlineLevel="0" collapsed="false">
      <c r="A490" s="7"/>
      <c r="B490" s="8"/>
      <c r="C490" s="8"/>
      <c r="D490" s="8"/>
      <c r="E490" s="11"/>
      <c r="F490" s="8"/>
      <c r="G490" s="8"/>
      <c r="H490" s="6" t="str">
        <f aca="false">IF(A490="","",YEAR(A490))</f>
        <v/>
      </c>
      <c r="I490" s="6" t="str">
        <f aca="false">IF(A490="","",MONTH(A490))</f>
        <v/>
      </c>
    </row>
    <row r="491" customFormat="false" ht="15" hidden="false" customHeight="false" outlineLevel="0" collapsed="false">
      <c r="A491" s="7"/>
      <c r="B491" s="8"/>
      <c r="C491" s="8"/>
      <c r="D491" s="8"/>
      <c r="E491" s="11"/>
      <c r="F491" s="8"/>
      <c r="G491" s="8"/>
      <c r="H491" s="6" t="str">
        <f aca="false">IF(A491="","",YEAR(A491))</f>
        <v/>
      </c>
      <c r="I491" s="6" t="str">
        <f aca="false">IF(A491="","",MONTH(A491))</f>
        <v/>
      </c>
    </row>
    <row r="492" customFormat="false" ht="15" hidden="false" customHeight="false" outlineLevel="0" collapsed="false">
      <c r="A492" s="7"/>
      <c r="B492" s="8"/>
      <c r="C492" s="8"/>
      <c r="D492" s="8"/>
      <c r="E492" s="11"/>
      <c r="F492" s="8"/>
      <c r="G492" s="8"/>
      <c r="H492" s="6" t="str">
        <f aca="false">IF(A492="","",YEAR(A492))</f>
        <v/>
      </c>
      <c r="I492" s="6" t="str">
        <f aca="false">IF(A492="","",MONTH(A492))</f>
        <v/>
      </c>
    </row>
    <row r="493" customFormat="false" ht="15" hidden="false" customHeight="false" outlineLevel="0" collapsed="false">
      <c r="A493" s="7"/>
      <c r="B493" s="8"/>
      <c r="C493" s="8"/>
      <c r="D493" s="8"/>
      <c r="E493" s="11"/>
      <c r="F493" s="8"/>
      <c r="G493" s="8"/>
      <c r="H493" s="6" t="str">
        <f aca="false">IF(A493="","",YEAR(A493))</f>
        <v/>
      </c>
      <c r="I493" s="6" t="str">
        <f aca="false">IF(A493="","",MONTH(A493))</f>
        <v/>
      </c>
    </row>
    <row r="494" customFormat="false" ht="15" hidden="false" customHeight="false" outlineLevel="0" collapsed="false">
      <c r="A494" s="7"/>
      <c r="B494" s="8"/>
      <c r="C494" s="8"/>
      <c r="D494" s="8"/>
      <c r="E494" s="11"/>
      <c r="F494" s="8"/>
      <c r="G494" s="8"/>
      <c r="H494" s="6" t="str">
        <f aca="false">IF(A494="","",YEAR(A494))</f>
        <v/>
      </c>
      <c r="I494" s="6" t="str">
        <f aca="false">IF(A494="","",MONTH(A494))</f>
        <v/>
      </c>
    </row>
    <row r="495" customFormat="false" ht="15" hidden="false" customHeight="false" outlineLevel="0" collapsed="false">
      <c r="A495" s="7"/>
      <c r="B495" s="8"/>
      <c r="C495" s="8"/>
      <c r="D495" s="8"/>
      <c r="E495" s="11"/>
      <c r="F495" s="8"/>
      <c r="G495" s="8"/>
      <c r="H495" s="6" t="str">
        <f aca="false">IF(A495="","",YEAR(A495))</f>
        <v/>
      </c>
      <c r="I495" s="6" t="str">
        <f aca="false">IF(A495="","",MONTH(A495))</f>
        <v/>
      </c>
    </row>
    <row r="496" customFormat="false" ht="15" hidden="false" customHeight="false" outlineLevel="0" collapsed="false">
      <c r="A496" s="7"/>
      <c r="B496" s="8"/>
      <c r="C496" s="8"/>
      <c r="D496" s="8"/>
      <c r="E496" s="11"/>
      <c r="F496" s="8"/>
      <c r="G496" s="8"/>
      <c r="H496" s="6" t="str">
        <f aca="false">IF(A496="","",YEAR(A496))</f>
        <v/>
      </c>
      <c r="I496" s="6" t="str">
        <f aca="false">IF(A496="","",MONTH(A496))</f>
        <v/>
      </c>
    </row>
    <row r="497" customFormat="false" ht="15" hidden="false" customHeight="false" outlineLevel="0" collapsed="false">
      <c r="A497" s="7"/>
      <c r="B497" s="8"/>
      <c r="C497" s="8"/>
      <c r="D497" s="8"/>
      <c r="E497" s="11"/>
      <c r="F497" s="8"/>
      <c r="G497" s="8"/>
      <c r="H497" s="6" t="str">
        <f aca="false">IF(A497="","",YEAR(A497))</f>
        <v/>
      </c>
      <c r="I497" s="6" t="str">
        <f aca="false">IF(A497="","",MONTH(A497))</f>
        <v/>
      </c>
    </row>
    <row r="498" customFormat="false" ht="15" hidden="false" customHeight="false" outlineLevel="0" collapsed="false">
      <c r="A498" s="7"/>
      <c r="B498" s="8"/>
      <c r="C498" s="8"/>
      <c r="D498" s="8"/>
      <c r="E498" s="11"/>
      <c r="F498" s="8"/>
      <c r="G498" s="8"/>
      <c r="H498" s="6" t="str">
        <f aca="false">IF(A498="","",YEAR(A498))</f>
        <v/>
      </c>
      <c r="I498" s="6" t="str">
        <f aca="false">IF(A498="","",MONTH(A498))</f>
        <v/>
      </c>
    </row>
    <row r="499" customFormat="false" ht="15" hidden="false" customHeight="false" outlineLevel="0" collapsed="false">
      <c r="A499" s="7"/>
      <c r="B499" s="8"/>
      <c r="C499" s="8"/>
      <c r="D499" s="8"/>
      <c r="E499" s="11"/>
      <c r="F499" s="8"/>
      <c r="G499" s="8"/>
      <c r="H499" s="6" t="str">
        <f aca="false">IF(A499="","",YEAR(A499))</f>
        <v/>
      </c>
      <c r="I499" s="6" t="str">
        <f aca="false">IF(A499="","",MONTH(A499))</f>
        <v/>
      </c>
    </row>
    <row r="500" customFormat="false" ht="15" hidden="false" customHeight="false" outlineLevel="0" collapsed="false">
      <c r="A500" s="7"/>
      <c r="B500" s="8"/>
      <c r="C500" s="8"/>
      <c r="D500" s="8"/>
      <c r="E500" s="11"/>
      <c r="F500" s="8"/>
      <c r="G500" s="8"/>
      <c r="H500" s="6" t="str">
        <f aca="false">IF(A500="","",YEAR(A500))</f>
        <v/>
      </c>
      <c r="I500" s="6" t="str">
        <f aca="false">IF(A500="","",MONTH(A500))</f>
        <v/>
      </c>
    </row>
    <row r="501" customFormat="false" ht="15" hidden="false" customHeight="false" outlineLevel="0" collapsed="false">
      <c r="A501" s="7"/>
      <c r="B501" s="8"/>
      <c r="C501" s="8"/>
      <c r="D501" s="8"/>
      <c r="E501" s="11"/>
      <c r="F501" s="8"/>
      <c r="G501" s="8"/>
      <c r="H501" s="6" t="str">
        <f aca="false">IF(A501="","",YEAR(A501))</f>
        <v/>
      </c>
      <c r="I501" s="6" t="str">
        <f aca="false">IF(A501="","",MONTH(A501))</f>
        <v/>
      </c>
    </row>
    <row r="502" customFormat="false" ht="15" hidden="false" customHeight="false" outlineLevel="0" collapsed="false">
      <c r="A502" s="7"/>
      <c r="B502" s="8"/>
      <c r="C502" s="8"/>
      <c r="D502" s="8"/>
      <c r="E502" s="11"/>
      <c r="F502" s="8"/>
      <c r="G502" s="8"/>
      <c r="H502" s="6" t="str">
        <f aca="false">IF(A502="","",YEAR(A502))</f>
        <v/>
      </c>
      <c r="I502" s="6" t="str">
        <f aca="false">IF(A502="","",MONTH(A502))</f>
        <v/>
      </c>
    </row>
    <row r="503" customFormat="false" ht="15" hidden="false" customHeight="false" outlineLevel="0" collapsed="false">
      <c r="A503" s="7"/>
      <c r="B503" s="8"/>
      <c r="C503" s="8"/>
      <c r="D503" s="8"/>
      <c r="E503" s="11"/>
      <c r="F503" s="8"/>
      <c r="G503" s="8"/>
      <c r="H503" s="6" t="str">
        <f aca="false">IF(A503="","",YEAR(A503))</f>
        <v/>
      </c>
      <c r="I503" s="6" t="str">
        <f aca="false">IF(A503="","",MONTH(A503))</f>
        <v/>
      </c>
    </row>
    <row r="504" customFormat="false" ht="15" hidden="false" customHeight="false" outlineLevel="0" collapsed="false">
      <c r="A504" s="7"/>
      <c r="B504" s="8"/>
      <c r="C504" s="8"/>
      <c r="D504" s="8"/>
      <c r="E504" s="11"/>
      <c r="F504" s="8"/>
      <c r="G504" s="8"/>
      <c r="H504" s="6" t="str">
        <f aca="false">IF(A504="","",YEAR(A504))</f>
        <v/>
      </c>
      <c r="I504" s="6" t="str">
        <f aca="false">IF(A504="","",MONTH(A504))</f>
        <v/>
      </c>
    </row>
    <row r="505" customFormat="false" ht="15" hidden="false" customHeight="false" outlineLevel="0" collapsed="false">
      <c r="A505" s="7"/>
      <c r="B505" s="8"/>
      <c r="C505" s="8"/>
      <c r="D505" s="8"/>
      <c r="E505" s="11"/>
      <c r="F505" s="8"/>
      <c r="G505" s="8"/>
      <c r="H505" s="6" t="str">
        <f aca="false">IF(A505="","",YEAR(A505))</f>
        <v/>
      </c>
      <c r="I505" s="6" t="str">
        <f aca="false">IF(A505="","",MONTH(A505))</f>
        <v/>
      </c>
    </row>
  </sheetData>
  <autoFilter ref="A5:I505"/>
  <dataValidations count="4">
    <dataValidation allowBlank="true" errorStyle="stop" operator="between" showDropDown="false" showErrorMessage="false" showInputMessage="false" sqref="B6:B505" type="list">
      <formula1>Listas!$D$5:$D$14</formula1>
      <formula2>0</formula2>
    </dataValidation>
    <dataValidation allowBlank="true" errorStyle="stop" operator="between" showDropDown="false" showErrorMessage="false" showInputMessage="false" sqref="F6:F505" type="list">
      <formula1>Listas!$B$5:$B$14</formula1>
      <formula2>0</formula2>
    </dataValidation>
    <dataValidation allowBlank="true" error="Escribe una fecha válida, por ejemplo 10/10/2026." errorStyle="stop" errorTitle="Fecha" operator="greaterThan" showDropDown="false" showErrorMessage="false" showInputMessage="false" sqref="A6:A505" type="date">
      <formula1>36526</formula1>
      <formula2>0</formula2>
    </dataValidation>
    <dataValidation allowBlank="true" error="Pon el importe en positivo." errorStyle="stop" errorTitle="Importe" operator="greaterThanOrEqual" showDropDown="false" showErrorMessage="false" showInputMessage="false" sqref="E6:E5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3A2E"/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62</v>
      </c>
    </row>
    <row r="3" customFormat="false" ht="15" hidden="false" customHeight="false" outlineLevel="0" collapsed="false">
      <c r="A3" s="12" t="s">
        <v>63</v>
      </c>
      <c r="B3" s="13" t="n">
        <v>2026</v>
      </c>
      <c r="C3" s="14" t="s">
        <v>64</v>
      </c>
    </row>
    <row r="5" customFormat="false" ht="31.5" hidden="false" customHeight="true" outlineLevel="0" collapsed="false">
      <c r="A5" s="5" t="s">
        <v>42</v>
      </c>
      <c r="B5" s="5" t="s">
        <v>24</v>
      </c>
      <c r="C5" s="5" t="s">
        <v>22</v>
      </c>
      <c r="D5" s="5" t="s">
        <v>65</v>
      </c>
      <c r="E5" s="5" t="s">
        <v>36</v>
      </c>
      <c r="F5" s="5" t="s">
        <v>37</v>
      </c>
      <c r="G5" s="5" t="s">
        <v>66</v>
      </c>
      <c r="H5" s="5" t="s">
        <v>67</v>
      </c>
      <c r="I5" s="5" t="s">
        <v>68</v>
      </c>
      <c r="J5" s="5" t="s">
        <v>69</v>
      </c>
    </row>
    <row r="6" customFormat="false" ht="15" hidden="false" customHeight="false" outlineLevel="0" collapsed="false">
      <c r="A6" s="15" t="s">
        <v>70</v>
      </c>
      <c r="B6" s="16" t="n">
        <v>1</v>
      </c>
      <c r="C6" s="17" t="n">
        <f aca="false">COUNTIFS(Pedidos!$R$6:$R$305,$B$3,Pedidos!$S$6:$S$305,$B6,Pedidos!$K$6:$K$305,"&lt;&gt;Cancelado")</f>
        <v>0</v>
      </c>
      <c r="D6" s="18" t="n">
        <f aca="false">SUMIFS(Pedidos!$H$6:$H$305,Pedidos!$R$6:$R$305,$B$3,Pedidos!$S$6:$S$305,$B6,Pedidos!$K$6:$K$305,"&lt;&gt;Cancelado")</f>
        <v>0</v>
      </c>
      <c r="E6" s="18" t="n">
        <f aca="false">SUMIFS(Pedidos!$M$6:$M$305,Pedidos!$R$6:$R$305,$B$3,Pedidos!$S$6:$S$305,$B6,Pedidos!$K$6:$K$305,"&lt;&gt;Cancelado")</f>
        <v>0</v>
      </c>
      <c r="F6" s="18" t="n">
        <f aca="false">SUMIFS(Pedidos!$N$6:$N$305,Pedidos!$R$6:$R$305,$B$3,Pedidos!$S$6:$S$305,$B6,Pedidos!$K$6:$K$305,"&lt;&gt;Cancelado")</f>
        <v>0</v>
      </c>
      <c r="G6" s="18" t="n">
        <f aca="false">SUMIFS(Gastos!$E$6:$E$505,Gastos!$H$6:$H$505,$B$3,Gastos!$I$6:$I$505,$B6)</f>
        <v>0</v>
      </c>
      <c r="H6" s="18" t="n">
        <f aca="false">D6-G6</f>
        <v>0</v>
      </c>
      <c r="I6" s="18" t="n">
        <f aca="false">E6-G6</f>
        <v>0</v>
      </c>
      <c r="J6" s="19" t="n">
        <f aca="false">IF(D6=0,0,H6/D6)</f>
        <v>0</v>
      </c>
    </row>
    <row r="7" customFormat="false" ht="15" hidden="false" customHeight="false" outlineLevel="0" collapsed="false">
      <c r="A7" s="15" t="s">
        <v>71</v>
      </c>
      <c r="B7" s="16" t="n">
        <v>2</v>
      </c>
      <c r="C7" s="17" t="n">
        <f aca="false">COUNTIFS(Pedidos!$R$6:$R$305,$B$3,Pedidos!$S$6:$S$305,$B7,Pedidos!$K$6:$K$305,"&lt;&gt;Cancelado")</f>
        <v>0</v>
      </c>
      <c r="D7" s="18" t="n">
        <f aca="false">SUMIFS(Pedidos!$H$6:$H$305,Pedidos!$R$6:$R$305,$B$3,Pedidos!$S$6:$S$305,$B7,Pedidos!$K$6:$K$305,"&lt;&gt;Cancelado")</f>
        <v>0</v>
      </c>
      <c r="E7" s="18" t="n">
        <f aca="false">SUMIFS(Pedidos!$M$6:$M$305,Pedidos!$R$6:$R$305,$B$3,Pedidos!$S$6:$S$305,$B7,Pedidos!$K$6:$K$305,"&lt;&gt;Cancelado")</f>
        <v>0</v>
      </c>
      <c r="F7" s="18" t="n">
        <f aca="false">SUMIFS(Pedidos!$N$6:$N$305,Pedidos!$R$6:$R$305,$B$3,Pedidos!$S$6:$S$305,$B7,Pedidos!$K$6:$K$305,"&lt;&gt;Cancelado")</f>
        <v>0</v>
      </c>
      <c r="G7" s="18" t="n">
        <f aca="false">SUMIFS(Gastos!$E$6:$E$505,Gastos!$H$6:$H$505,$B$3,Gastos!$I$6:$I$505,$B7)</f>
        <v>0</v>
      </c>
      <c r="H7" s="18" t="n">
        <f aca="false">D7-G7</f>
        <v>0</v>
      </c>
      <c r="I7" s="18" t="n">
        <f aca="false">E7-G7</f>
        <v>0</v>
      </c>
      <c r="J7" s="19" t="n">
        <f aca="false">IF(D7=0,0,H7/D7)</f>
        <v>0</v>
      </c>
    </row>
    <row r="8" customFormat="false" ht="15" hidden="false" customHeight="false" outlineLevel="0" collapsed="false">
      <c r="A8" s="15" t="s">
        <v>72</v>
      </c>
      <c r="B8" s="16" t="n">
        <v>3</v>
      </c>
      <c r="C8" s="17" t="n">
        <f aca="false">COUNTIFS(Pedidos!$R$6:$R$305,$B$3,Pedidos!$S$6:$S$305,$B8,Pedidos!$K$6:$K$305,"&lt;&gt;Cancelado")</f>
        <v>0</v>
      </c>
      <c r="D8" s="18" t="n">
        <f aca="false">SUMIFS(Pedidos!$H$6:$H$305,Pedidos!$R$6:$R$305,$B$3,Pedidos!$S$6:$S$305,$B8,Pedidos!$K$6:$K$305,"&lt;&gt;Cancelado")</f>
        <v>0</v>
      </c>
      <c r="E8" s="18" t="n">
        <f aca="false">SUMIFS(Pedidos!$M$6:$M$305,Pedidos!$R$6:$R$305,$B$3,Pedidos!$S$6:$S$305,$B8,Pedidos!$K$6:$K$305,"&lt;&gt;Cancelado")</f>
        <v>0</v>
      </c>
      <c r="F8" s="18" t="n">
        <f aca="false">SUMIFS(Pedidos!$N$6:$N$305,Pedidos!$R$6:$R$305,$B$3,Pedidos!$S$6:$S$305,$B8,Pedidos!$K$6:$K$305,"&lt;&gt;Cancelado")</f>
        <v>0</v>
      </c>
      <c r="G8" s="18" t="n">
        <f aca="false">SUMIFS(Gastos!$E$6:$E$505,Gastos!$H$6:$H$505,$B$3,Gastos!$I$6:$I$505,$B8)</f>
        <v>0</v>
      </c>
      <c r="H8" s="18" t="n">
        <f aca="false">D8-G8</f>
        <v>0</v>
      </c>
      <c r="I8" s="18" t="n">
        <f aca="false">E8-G8</f>
        <v>0</v>
      </c>
      <c r="J8" s="19" t="n">
        <f aca="false">IF(D8=0,0,H8/D8)</f>
        <v>0</v>
      </c>
    </row>
    <row r="9" customFormat="false" ht="15" hidden="false" customHeight="false" outlineLevel="0" collapsed="false">
      <c r="A9" s="15" t="s">
        <v>73</v>
      </c>
      <c r="B9" s="16" t="n">
        <v>4</v>
      </c>
      <c r="C9" s="17" t="n">
        <f aca="false">COUNTIFS(Pedidos!$R$6:$R$305,$B$3,Pedidos!$S$6:$S$305,$B9,Pedidos!$K$6:$K$305,"&lt;&gt;Cancelado")</f>
        <v>0</v>
      </c>
      <c r="D9" s="18" t="n">
        <f aca="false">SUMIFS(Pedidos!$H$6:$H$305,Pedidos!$R$6:$R$305,$B$3,Pedidos!$S$6:$S$305,$B9,Pedidos!$K$6:$K$305,"&lt;&gt;Cancelado")</f>
        <v>0</v>
      </c>
      <c r="E9" s="18" t="n">
        <f aca="false">SUMIFS(Pedidos!$M$6:$M$305,Pedidos!$R$6:$R$305,$B$3,Pedidos!$S$6:$S$305,$B9,Pedidos!$K$6:$K$305,"&lt;&gt;Cancelado")</f>
        <v>0</v>
      </c>
      <c r="F9" s="18" t="n">
        <f aca="false">SUMIFS(Pedidos!$N$6:$N$305,Pedidos!$R$6:$R$305,$B$3,Pedidos!$S$6:$S$305,$B9,Pedidos!$K$6:$K$305,"&lt;&gt;Cancelado")</f>
        <v>0</v>
      </c>
      <c r="G9" s="18" t="n">
        <f aca="false">SUMIFS(Gastos!$E$6:$E$505,Gastos!$H$6:$H$505,$B$3,Gastos!$I$6:$I$505,$B9)</f>
        <v>0</v>
      </c>
      <c r="H9" s="18" t="n">
        <f aca="false">D9-G9</f>
        <v>0</v>
      </c>
      <c r="I9" s="18" t="n">
        <f aca="false">E9-G9</f>
        <v>0</v>
      </c>
      <c r="J9" s="19" t="n">
        <f aca="false">IF(D9=0,0,H9/D9)</f>
        <v>0</v>
      </c>
    </row>
    <row r="10" customFormat="false" ht="15" hidden="false" customHeight="false" outlineLevel="0" collapsed="false">
      <c r="A10" s="15" t="s">
        <v>74</v>
      </c>
      <c r="B10" s="16" t="n">
        <v>5</v>
      </c>
      <c r="C10" s="17" t="n">
        <f aca="false">COUNTIFS(Pedidos!$R$6:$R$305,$B$3,Pedidos!$S$6:$S$305,$B10,Pedidos!$K$6:$K$305,"&lt;&gt;Cancelado")</f>
        <v>0</v>
      </c>
      <c r="D10" s="18" t="n">
        <f aca="false">SUMIFS(Pedidos!$H$6:$H$305,Pedidos!$R$6:$R$305,$B$3,Pedidos!$S$6:$S$305,$B10,Pedidos!$K$6:$K$305,"&lt;&gt;Cancelado")</f>
        <v>0</v>
      </c>
      <c r="E10" s="18" t="n">
        <f aca="false">SUMIFS(Pedidos!$M$6:$M$305,Pedidos!$R$6:$R$305,$B$3,Pedidos!$S$6:$S$305,$B10,Pedidos!$K$6:$K$305,"&lt;&gt;Cancelado")</f>
        <v>0</v>
      </c>
      <c r="F10" s="18" t="n">
        <f aca="false">SUMIFS(Pedidos!$N$6:$N$305,Pedidos!$R$6:$R$305,$B$3,Pedidos!$S$6:$S$305,$B10,Pedidos!$K$6:$K$305,"&lt;&gt;Cancelado")</f>
        <v>0</v>
      </c>
      <c r="G10" s="18" t="n">
        <f aca="false">SUMIFS(Gastos!$E$6:$E$505,Gastos!$H$6:$H$505,$B$3,Gastos!$I$6:$I$505,$B10)</f>
        <v>0</v>
      </c>
      <c r="H10" s="18" t="n">
        <f aca="false">D10-G10</f>
        <v>0</v>
      </c>
      <c r="I10" s="18" t="n">
        <f aca="false">E10-G10</f>
        <v>0</v>
      </c>
      <c r="J10" s="19" t="n">
        <f aca="false">IF(D10=0,0,H10/D10)</f>
        <v>0</v>
      </c>
    </row>
    <row r="11" customFormat="false" ht="15" hidden="false" customHeight="false" outlineLevel="0" collapsed="false">
      <c r="A11" s="15" t="s">
        <v>75</v>
      </c>
      <c r="B11" s="16" t="n">
        <v>6</v>
      </c>
      <c r="C11" s="17" t="n">
        <f aca="false">COUNTIFS(Pedidos!$R$6:$R$305,$B$3,Pedidos!$S$6:$S$305,$B11,Pedidos!$K$6:$K$305,"&lt;&gt;Cancelado")</f>
        <v>0</v>
      </c>
      <c r="D11" s="18" t="n">
        <f aca="false">SUMIFS(Pedidos!$H$6:$H$305,Pedidos!$R$6:$R$305,$B$3,Pedidos!$S$6:$S$305,$B11,Pedidos!$K$6:$K$305,"&lt;&gt;Cancelado")</f>
        <v>0</v>
      </c>
      <c r="E11" s="18" t="n">
        <f aca="false">SUMIFS(Pedidos!$M$6:$M$305,Pedidos!$R$6:$R$305,$B$3,Pedidos!$S$6:$S$305,$B11,Pedidos!$K$6:$K$305,"&lt;&gt;Cancelado")</f>
        <v>0</v>
      </c>
      <c r="F11" s="18" t="n">
        <f aca="false">SUMIFS(Pedidos!$N$6:$N$305,Pedidos!$R$6:$R$305,$B$3,Pedidos!$S$6:$S$305,$B11,Pedidos!$K$6:$K$305,"&lt;&gt;Cancelado")</f>
        <v>0</v>
      </c>
      <c r="G11" s="18" t="n">
        <f aca="false">SUMIFS(Gastos!$E$6:$E$505,Gastos!$H$6:$H$505,$B$3,Gastos!$I$6:$I$505,$B11)</f>
        <v>0</v>
      </c>
      <c r="H11" s="18" t="n">
        <f aca="false">D11-G11</f>
        <v>0</v>
      </c>
      <c r="I11" s="18" t="n">
        <f aca="false">E11-G11</f>
        <v>0</v>
      </c>
      <c r="J11" s="19" t="n">
        <f aca="false">IF(D11=0,0,H11/D11)</f>
        <v>0</v>
      </c>
    </row>
    <row r="12" customFormat="false" ht="15" hidden="false" customHeight="false" outlineLevel="0" collapsed="false">
      <c r="A12" s="15" t="s">
        <v>76</v>
      </c>
      <c r="B12" s="16" t="n">
        <v>7</v>
      </c>
      <c r="C12" s="17" t="n">
        <f aca="false">COUNTIFS(Pedidos!$R$6:$R$305,$B$3,Pedidos!$S$6:$S$305,$B12,Pedidos!$K$6:$K$305,"&lt;&gt;Cancelado")</f>
        <v>0</v>
      </c>
      <c r="D12" s="18" t="n">
        <f aca="false">SUMIFS(Pedidos!$H$6:$H$305,Pedidos!$R$6:$R$305,$B$3,Pedidos!$S$6:$S$305,$B12,Pedidos!$K$6:$K$305,"&lt;&gt;Cancelado")</f>
        <v>0</v>
      </c>
      <c r="E12" s="18" t="n">
        <f aca="false">SUMIFS(Pedidos!$M$6:$M$305,Pedidos!$R$6:$R$305,$B$3,Pedidos!$S$6:$S$305,$B12,Pedidos!$K$6:$K$305,"&lt;&gt;Cancelado")</f>
        <v>0</v>
      </c>
      <c r="F12" s="18" t="n">
        <f aca="false">SUMIFS(Pedidos!$N$6:$N$305,Pedidos!$R$6:$R$305,$B$3,Pedidos!$S$6:$S$305,$B12,Pedidos!$K$6:$K$305,"&lt;&gt;Cancelado")</f>
        <v>0</v>
      </c>
      <c r="G12" s="18" t="n">
        <f aca="false">SUMIFS(Gastos!$E$6:$E$505,Gastos!$H$6:$H$505,$B$3,Gastos!$I$6:$I$505,$B12)</f>
        <v>0</v>
      </c>
      <c r="H12" s="18" t="n">
        <f aca="false">D12-G12</f>
        <v>0</v>
      </c>
      <c r="I12" s="18" t="n">
        <f aca="false">E12-G12</f>
        <v>0</v>
      </c>
      <c r="J12" s="19" t="n">
        <f aca="false">IF(D12=0,0,H12/D12)</f>
        <v>0</v>
      </c>
    </row>
    <row r="13" customFormat="false" ht="15" hidden="false" customHeight="false" outlineLevel="0" collapsed="false">
      <c r="A13" s="15" t="s">
        <v>77</v>
      </c>
      <c r="B13" s="16" t="n">
        <v>8</v>
      </c>
      <c r="C13" s="17" t="n">
        <f aca="false">COUNTIFS(Pedidos!$R$6:$R$305,$B$3,Pedidos!$S$6:$S$305,$B13,Pedidos!$K$6:$K$305,"&lt;&gt;Cancelado")</f>
        <v>0</v>
      </c>
      <c r="D13" s="18" t="n">
        <f aca="false">SUMIFS(Pedidos!$H$6:$H$305,Pedidos!$R$6:$R$305,$B$3,Pedidos!$S$6:$S$305,$B13,Pedidos!$K$6:$K$305,"&lt;&gt;Cancelado")</f>
        <v>0</v>
      </c>
      <c r="E13" s="18" t="n">
        <f aca="false">SUMIFS(Pedidos!$M$6:$M$305,Pedidos!$R$6:$R$305,$B$3,Pedidos!$S$6:$S$305,$B13,Pedidos!$K$6:$K$305,"&lt;&gt;Cancelado")</f>
        <v>0</v>
      </c>
      <c r="F13" s="18" t="n">
        <f aca="false">SUMIFS(Pedidos!$N$6:$N$305,Pedidos!$R$6:$R$305,$B$3,Pedidos!$S$6:$S$305,$B13,Pedidos!$K$6:$K$305,"&lt;&gt;Cancelado")</f>
        <v>0</v>
      </c>
      <c r="G13" s="18" t="n">
        <f aca="false">SUMIFS(Gastos!$E$6:$E$505,Gastos!$H$6:$H$505,$B$3,Gastos!$I$6:$I$505,$B13)</f>
        <v>0</v>
      </c>
      <c r="H13" s="18" t="n">
        <f aca="false">D13-G13</f>
        <v>0</v>
      </c>
      <c r="I13" s="18" t="n">
        <f aca="false">E13-G13</f>
        <v>0</v>
      </c>
      <c r="J13" s="19" t="n">
        <f aca="false">IF(D13=0,0,H13/D13)</f>
        <v>0</v>
      </c>
    </row>
    <row r="14" customFormat="false" ht="15" hidden="false" customHeight="false" outlineLevel="0" collapsed="false">
      <c r="A14" s="15" t="s">
        <v>78</v>
      </c>
      <c r="B14" s="16" t="n">
        <v>9</v>
      </c>
      <c r="C14" s="17" t="n">
        <f aca="false">COUNTIFS(Pedidos!$R$6:$R$305,$B$3,Pedidos!$S$6:$S$305,$B14,Pedidos!$K$6:$K$305,"&lt;&gt;Cancelado")</f>
        <v>0</v>
      </c>
      <c r="D14" s="18" t="n">
        <f aca="false">SUMIFS(Pedidos!$H$6:$H$305,Pedidos!$R$6:$R$305,$B$3,Pedidos!$S$6:$S$305,$B14,Pedidos!$K$6:$K$305,"&lt;&gt;Cancelado")</f>
        <v>0</v>
      </c>
      <c r="E14" s="18" t="n">
        <f aca="false">SUMIFS(Pedidos!$M$6:$M$305,Pedidos!$R$6:$R$305,$B$3,Pedidos!$S$6:$S$305,$B14,Pedidos!$K$6:$K$305,"&lt;&gt;Cancelado")</f>
        <v>0</v>
      </c>
      <c r="F14" s="18" t="n">
        <f aca="false">SUMIFS(Pedidos!$N$6:$N$305,Pedidos!$R$6:$R$305,$B$3,Pedidos!$S$6:$S$305,$B14,Pedidos!$K$6:$K$305,"&lt;&gt;Cancelado")</f>
        <v>0</v>
      </c>
      <c r="G14" s="18" t="n">
        <f aca="false">SUMIFS(Gastos!$E$6:$E$505,Gastos!$H$6:$H$505,$B$3,Gastos!$I$6:$I$505,$B14)</f>
        <v>0</v>
      </c>
      <c r="H14" s="18" t="n">
        <f aca="false">D14-G14</f>
        <v>0</v>
      </c>
      <c r="I14" s="18" t="n">
        <f aca="false">E14-G14</f>
        <v>0</v>
      </c>
      <c r="J14" s="19" t="n">
        <f aca="false">IF(D14=0,0,H14/D14)</f>
        <v>0</v>
      </c>
    </row>
    <row r="15" customFormat="false" ht="15" hidden="false" customHeight="false" outlineLevel="0" collapsed="false">
      <c r="A15" s="15" t="s">
        <v>79</v>
      </c>
      <c r="B15" s="16" t="n">
        <v>10</v>
      </c>
      <c r="C15" s="17" t="n">
        <f aca="false">COUNTIFS(Pedidos!$R$6:$R$305,$B$3,Pedidos!$S$6:$S$305,$B15,Pedidos!$K$6:$K$305,"&lt;&gt;Cancelado")</f>
        <v>1</v>
      </c>
      <c r="D15" s="18" t="n">
        <f aca="false">SUMIFS(Pedidos!$H$6:$H$305,Pedidos!$R$6:$R$305,$B$3,Pedidos!$S$6:$S$305,$B15,Pedidos!$K$6:$K$305,"&lt;&gt;Cancelado")</f>
        <v>68</v>
      </c>
      <c r="E15" s="18" t="n">
        <f aca="false">SUMIFS(Pedidos!$M$6:$M$305,Pedidos!$R$6:$R$305,$B$3,Pedidos!$S$6:$S$305,$B15,Pedidos!$K$6:$K$305,"&lt;&gt;Cancelado")</f>
        <v>34</v>
      </c>
      <c r="F15" s="18" t="n">
        <f aca="false">SUMIFS(Pedidos!$N$6:$N$305,Pedidos!$R$6:$R$305,$B$3,Pedidos!$S$6:$S$305,$B15,Pedidos!$K$6:$K$305,"&lt;&gt;Cancelado")</f>
        <v>34</v>
      </c>
      <c r="G15" s="18" t="n">
        <f aca="false">SUMIFS(Gastos!$E$6:$E$505,Gastos!$H$6:$H$505,$B$3,Gastos!$I$6:$I$505,$B15)</f>
        <v>42.5</v>
      </c>
      <c r="H15" s="18" t="n">
        <f aca="false">D15-G15</f>
        <v>25.5</v>
      </c>
      <c r="I15" s="18" t="n">
        <f aca="false">E15-G15</f>
        <v>-8.5</v>
      </c>
      <c r="J15" s="19" t="n">
        <f aca="false">IF(D15=0,0,H15/D15)</f>
        <v>0.375</v>
      </c>
    </row>
    <row r="16" customFormat="false" ht="15" hidden="false" customHeight="false" outlineLevel="0" collapsed="false">
      <c r="A16" s="15" t="s">
        <v>80</v>
      </c>
      <c r="B16" s="16" t="n">
        <v>11</v>
      </c>
      <c r="C16" s="17" t="n">
        <f aca="false">COUNTIFS(Pedidos!$R$6:$R$305,$B$3,Pedidos!$S$6:$S$305,$B16,Pedidos!$K$6:$K$305,"&lt;&gt;Cancelado")</f>
        <v>0</v>
      </c>
      <c r="D16" s="18" t="n">
        <f aca="false">SUMIFS(Pedidos!$H$6:$H$305,Pedidos!$R$6:$R$305,$B$3,Pedidos!$S$6:$S$305,$B16,Pedidos!$K$6:$K$305,"&lt;&gt;Cancelado")</f>
        <v>0</v>
      </c>
      <c r="E16" s="18" t="n">
        <f aca="false">SUMIFS(Pedidos!$M$6:$M$305,Pedidos!$R$6:$R$305,$B$3,Pedidos!$S$6:$S$305,$B16,Pedidos!$K$6:$K$305,"&lt;&gt;Cancelado")</f>
        <v>0</v>
      </c>
      <c r="F16" s="18" t="n">
        <f aca="false">SUMIFS(Pedidos!$N$6:$N$305,Pedidos!$R$6:$R$305,$B$3,Pedidos!$S$6:$S$305,$B16,Pedidos!$K$6:$K$305,"&lt;&gt;Cancelado")</f>
        <v>0</v>
      </c>
      <c r="G16" s="18" t="n">
        <f aca="false">SUMIFS(Gastos!$E$6:$E$505,Gastos!$H$6:$H$505,$B$3,Gastos!$I$6:$I$505,$B16)</f>
        <v>0</v>
      </c>
      <c r="H16" s="18" t="n">
        <f aca="false">D16-G16</f>
        <v>0</v>
      </c>
      <c r="I16" s="18" t="n">
        <f aca="false">E16-G16</f>
        <v>0</v>
      </c>
      <c r="J16" s="19" t="n">
        <f aca="false">IF(D16=0,0,H16/D16)</f>
        <v>0</v>
      </c>
    </row>
    <row r="17" customFormat="false" ht="15" hidden="false" customHeight="false" outlineLevel="0" collapsed="false">
      <c r="A17" s="15" t="s">
        <v>81</v>
      </c>
      <c r="B17" s="16" t="n">
        <v>12</v>
      </c>
      <c r="C17" s="17" t="n">
        <f aca="false">COUNTIFS(Pedidos!$R$6:$R$305,$B$3,Pedidos!$S$6:$S$305,$B17,Pedidos!$K$6:$K$305,"&lt;&gt;Cancelado")</f>
        <v>0</v>
      </c>
      <c r="D17" s="18" t="n">
        <f aca="false">SUMIFS(Pedidos!$H$6:$H$305,Pedidos!$R$6:$R$305,$B$3,Pedidos!$S$6:$S$305,$B17,Pedidos!$K$6:$K$305,"&lt;&gt;Cancelado")</f>
        <v>0</v>
      </c>
      <c r="E17" s="18" t="n">
        <f aca="false">SUMIFS(Pedidos!$M$6:$M$305,Pedidos!$R$6:$R$305,$B$3,Pedidos!$S$6:$S$305,$B17,Pedidos!$K$6:$K$305,"&lt;&gt;Cancelado")</f>
        <v>0</v>
      </c>
      <c r="F17" s="18" t="n">
        <f aca="false">SUMIFS(Pedidos!$N$6:$N$305,Pedidos!$R$6:$R$305,$B$3,Pedidos!$S$6:$S$305,$B17,Pedidos!$K$6:$K$305,"&lt;&gt;Cancelado")</f>
        <v>0</v>
      </c>
      <c r="G17" s="18" t="n">
        <f aca="false">SUMIFS(Gastos!$E$6:$E$505,Gastos!$H$6:$H$505,$B$3,Gastos!$I$6:$I$505,$B17)</f>
        <v>0</v>
      </c>
      <c r="H17" s="18" t="n">
        <f aca="false">D17-G17</f>
        <v>0</v>
      </c>
      <c r="I17" s="18" t="n">
        <f aca="false">E17-G17</f>
        <v>0</v>
      </c>
      <c r="J17" s="19" t="n">
        <f aca="false">IF(D17=0,0,H17/D17)</f>
        <v>0</v>
      </c>
    </row>
    <row r="18" customFormat="false" ht="15" hidden="false" customHeight="false" outlineLevel="0" collapsed="false">
      <c r="A18" s="20" t="s">
        <v>82</v>
      </c>
      <c r="B18" s="21"/>
      <c r="C18" s="22" t="n">
        <f aca="false">SUM(C6:C17)</f>
        <v>1</v>
      </c>
      <c r="D18" s="23" t="n">
        <f aca="false">SUM(D6:D17)</f>
        <v>68</v>
      </c>
      <c r="E18" s="23" t="n">
        <f aca="false">SUM(E6:E17)</f>
        <v>34</v>
      </c>
      <c r="F18" s="23" t="n">
        <f aca="false">SUM(F6:F17)</f>
        <v>34</v>
      </c>
      <c r="G18" s="23" t="n">
        <f aca="false">SUM(G6:G17)</f>
        <v>42.5</v>
      </c>
      <c r="H18" s="23" t="n">
        <f aca="false">SUM(H6:H17)</f>
        <v>25.5</v>
      </c>
      <c r="I18" s="23" t="n">
        <f aca="false">SUM(I6:I17)</f>
        <v>-8.5</v>
      </c>
      <c r="J18" s="24" t="n">
        <f aca="false">IF(D18=0,0,H18/D18)</f>
        <v>0.375</v>
      </c>
    </row>
    <row r="20" customFormat="false" ht="15" hidden="false" customHeight="false" outlineLevel="0" collapsed="false">
      <c r="A20" s="25" t="s">
        <v>83</v>
      </c>
    </row>
    <row r="21" customFormat="false" ht="15" hidden="false" customHeight="false" outlineLevel="0" collapsed="false">
      <c r="A21" s="26" t="s">
        <v>84</v>
      </c>
      <c r="B21" s="26"/>
      <c r="C21" s="26"/>
      <c r="D21" s="27" t="n">
        <f aca="false">IF(C18=0,0,D18/C18)</f>
        <v>68</v>
      </c>
    </row>
    <row r="22" customFormat="false" ht="15" hidden="false" customHeight="false" outlineLevel="0" collapsed="false">
      <c r="A22" s="26" t="s">
        <v>85</v>
      </c>
      <c r="B22" s="26"/>
      <c r="C22" s="26"/>
      <c r="D22" s="27" t="n">
        <f aca="false">SUM(Pedidos!$N$6:$N$305)</f>
        <v>34</v>
      </c>
    </row>
    <row r="23" customFormat="false" ht="15" hidden="false" customHeight="false" outlineLevel="0" collapsed="false">
      <c r="A23" s="26" t="s">
        <v>86</v>
      </c>
      <c r="B23" s="26"/>
      <c r="C23" s="26"/>
      <c r="D23" s="28" t="n">
        <f aca="false">COUNTIF(Pedidos!$K$6:$K$305,"Confirmado")+COUNTIF(Pedidos!$K$6:$K$305,"En preparación")+COUNTIF(Pedidos!$K$6:$K$305,"Listo")</f>
        <v>1</v>
      </c>
    </row>
    <row r="24" customFormat="false" ht="15" hidden="false" customHeight="false" outlineLevel="0" collapsed="false">
      <c r="A24" s="26" t="s">
        <v>87</v>
      </c>
      <c r="B24" s="26"/>
      <c r="C24" s="26"/>
      <c r="D24" s="28" t="n">
        <f aca="false">COUNTIF(Pedidos!$K$6:$K$305,"Pendiente de confirmar")</f>
        <v>0</v>
      </c>
    </row>
    <row r="25" customFormat="false" ht="15" hidden="false" customHeight="false" outlineLevel="0" collapsed="false">
      <c r="A25" s="26" t="s">
        <v>88</v>
      </c>
      <c r="B25" s="26"/>
      <c r="C25" s="26"/>
      <c r="D25" s="28" t="n">
        <f aca="false">COUNTIFS(Pedidos!$R$6:$R$305,$B$3,Pedidos!$K$6:$K$305,"Cancelado")</f>
        <v>0</v>
      </c>
    </row>
    <row r="26" customFormat="false" ht="15" hidden="false" customHeight="false" outlineLevel="0" collapsed="false">
      <c r="A26" s="26" t="s">
        <v>89</v>
      </c>
      <c r="B26" s="26"/>
      <c r="C26" s="26"/>
      <c r="D26" s="27" t="n">
        <f aca="false">SUMIFS(Pedidos!$O$6:$O$305,Pedidos!$R$6:$R$305,$B$3,Pedidos!$K$6:$K$305,"&lt;&gt;Cancelado")</f>
        <v>0</v>
      </c>
    </row>
    <row r="27" customFormat="false" ht="15" hidden="false" customHeight="false" outlineLevel="0" collapsed="false">
      <c r="A27" s="26" t="s">
        <v>90</v>
      </c>
      <c r="B27" s="26"/>
      <c r="C27" s="26"/>
      <c r="D27" s="27" t="n">
        <f aca="false">SUMIFS(Gastos!$E$6:$E$505,Gastos!$H$6:$H$505,$B$3,Gastos!$B$6:$B$505,"Ingredientes")</f>
        <v>42.5</v>
      </c>
    </row>
    <row r="29" customFormat="false" ht="15" hidden="false" customHeight="false" outlineLevel="0" collapsed="false">
      <c r="A29" s="25" t="s">
        <v>91</v>
      </c>
    </row>
    <row r="30" customFormat="false" ht="31.5" hidden="false" customHeight="true" outlineLevel="0" collapsed="false">
      <c r="A30" s="5" t="s">
        <v>28</v>
      </c>
      <c r="B30" s="5"/>
      <c r="C30" s="5"/>
      <c r="D30" s="5" t="s">
        <v>92</v>
      </c>
      <c r="E30" s="5" t="s">
        <v>65</v>
      </c>
      <c r="F30" s="5" t="s">
        <v>93</v>
      </c>
    </row>
    <row r="31" customFormat="false" ht="15" hidden="false" customHeight="false" outlineLevel="0" collapsed="false">
      <c r="A31" s="15" t="str">
        <f aca="false">IF(Catálogo!C5="","",Catálogo!C5)</f>
        <v>Tarta de queso y pistacho – Pequeña (6–8 raciones)</v>
      </c>
      <c r="B31" s="15"/>
      <c r="C31" s="15"/>
      <c r="D31" s="29" t="n">
        <f aca="false">IF($A31="","",SUMIFS(Pedidos!$F$6:$F$305,Pedidos!$E$6:$E$305,$A31,Pedidos!$R$6:$R$305,$B$3,Pedidos!$K$6:$K$305,"&lt;&gt;Cancelado"))</f>
        <v>0</v>
      </c>
      <c r="E31" s="18" t="n">
        <f aca="false">IF($A31="","",SUMIFS(Pedidos!$H$6:$H$305,Pedidos!$E$6:$E$305,$A31,Pedidos!$R$6:$R$305,$B$3,Pedidos!$K$6:$K$305,"&lt;&gt;Cancelado"))</f>
        <v>0</v>
      </c>
      <c r="F31" s="19" t="n">
        <f aca="false">IF(OR($A31="",$D$18=0),"",E31/$D$18)</f>
        <v>0</v>
      </c>
    </row>
    <row r="32" customFormat="false" ht="15" hidden="false" customHeight="false" outlineLevel="0" collapsed="false">
      <c r="A32" s="15" t="str">
        <f aca="false">IF(Catálogo!C6="","",Catálogo!C6)</f>
        <v>Tarta de queso y pistacho – Grande (10–12 raciones)</v>
      </c>
      <c r="B32" s="15"/>
      <c r="C32" s="15"/>
      <c r="D32" s="29" t="n">
        <f aca="false">IF($A32="","",SUMIFS(Pedidos!$F$6:$F$305,Pedidos!$E$6:$E$305,$A32,Pedidos!$R$6:$R$305,$B$3,Pedidos!$K$6:$K$305,"&lt;&gt;Cancelado"))</f>
        <v>2</v>
      </c>
      <c r="E32" s="18" t="n">
        <f aca="false">IF($A32="","",SUMIFS(Pedidos!$H$6:$H$305,Pedidos!$E$6:$E$305,$A32,Pedidos!$R$6:$R$305,$B$3,Pedidos!$K$6:$K$305,"&lt;&gt;Cancelado"))</f>
        <v>68</v>
      </c>
      <c r="F32" s="19" t="n">
        <f aca="false">IF(OR($A32="",$D$18=0),"",E32/$D$18)</f>
        <v>1</v>
      </c>
    </row>
    <row r="33" customFormat="false" ht="15" hidden="false" customHeight="false" outlineLevel="0" collapsed="false">
      <c r="A33" s="15" t="str">
        <f aca="false">IF(Catálogo!C7="","",Catálogo!C7)</f>
        <v>Tarta de queso al horno – Pequeña (6–8 raciones)</v>
      </c>
      <c r="B33" s="15"/>
      <c r="C33" s="15"/>
      <c r="D33" s="29" t="n">
        <f aca="false">IF($A33="","",SUMIFS(Pedidos!$F$6:$F$305,Pedidos!$E$6:$E$305,$A33,Pedidos!$R$6:$R$305,$B$3,Pedidos!$K$6:$K$305,"&lt;&gt;Cancelado"))</f>
        <v>0</v>
      </c>
      <c r="E33" s="18" t="n">
        <f aca="false">IF($A33="","",SUMIFS(Pedidos!$H$6:$H$305,Pedidos!$E$6:$E$305,$A33,Pedidos!$R$6:$R$305,$B$3,Pedidos!$K$6:$K$305,"&lt;&gt;Cancelado"))</f>
        <v>0</v>
      </c>
      <c r="F33" s="19" t="n">
        <f aca="false">IF(OR($A33="",$D$18=0),"",E33/$D$18)</f>
        <v>0</v>
      </c>
    </row>
    <row r="34" customFormat="false" ht="15" hidden="false" customHeight="false" outlineLevel="0" collapsed="false">
      <c r="A34" s="15" t="str">
        <f aca="false">IF(Catálogo!C8="","",Catálogo!C8)</f>
        <v>Tarta de queso al horno – Grande (10–12 raciones)</v>
      </c>
      <c r="B34" s="15"/>
      <c r="C34" s="15"/>
      <c r="D34" s="29" t="n">
        <f aca="false">IF($A34="","",SUMIFS(Pedidos!$F$6:$F$305,Pedidos!$E$6:$E$305,$A34,Pedidos!$R$6:$R$305,$B$3,Pedidos!$K$6:$K$305,"&lt;&gt;Cancelado"))</f>
        <v>0</v>
      </c>
      <c r="E34" s="18" t="n">
        <f aca="false">IF($A34="","",SUMIFS(Pedidos!$H$6:$H$305,Pedidos!$E$6:$E$305,$A34,Pedidos!$R$6:$R$305,$B$3,Pedidos!$K$6:$K$305,"&lt;&gt;Cancelado"))</f>
        <v>0</v>
      </c>
      <c r="F34" s="19" t="n">
        <f aca="false">IF(OR($A34="",$D$18=0),"",E34/$D$18)</f>
        <v>0</v>
      </c>
    </row>
    <row r="35" customFormat="false" ht="15" hidden="false" customHeight="false" outlineLevel="0" collapsed="false">
      <c r="A35" s="15" t="str">
        <f aca="false">IF(Catálogo!C9="","",Catálogo!C9)</f>
        <v>Tarta de chocolate – Pequeña (6–8 raciones)</v>
      </c>
      <c r="B35" s="15"/>
      <c r="C35" s="15"/>
      <c r="D35" s="29" t="n">
        <f aca="false">IF($A35="","",SUMIFS(Pedidos!$F$6:$F$305,Pedidos!$E$6:$E$305,$A35,Pedidos!$R$6:$R$305,$B$3,Pedidos!$K$6:$K$305,"&lt;&gt;Cancelado"))</f>
        <v>0</v>
      </c>
      <c r="E35" s="18" t="n">
        <f aca="false">IF($A35="","",SUMIFS(Pedidos!$H$6:$H$305,Pedidos!$E$6:$E$305,$A35,Pedidos!$R$6:$R$305,$B$3,Pedidos!$K$6:$K$305,"&lt;&gt;Cancelado"))</f>
        <v>0</v>
      </c>
      <c r="F35" s="19" t="n">
        <f aca="false">IF(OR($A35="",$D$18=0),"",E35/$D$18)</f>
        <v>0</v>
      </c>
    </row>
    <row r="36" customFormat="false" ht="15" hidden="false" customHeight="false" outlineLevel="0" collapsed="false">
      <c r="A36" s="15" t="str">
        <f aca="false">IF(Catálogo!C10="","",Catálogo!C10)</f>
        <v>Tarta de chocolate – Grande (10–12 raciones)</v>
      </c>
      <c r="B36" s="15"/>
      <c r="C36" s="15"/>
      <c r="D36" s="29" t="n">
        <f aca="false">IF($A36="","",SUMIFS(Pedidos!$F$6:$F$305,Pedidos!$E$6:$E$305,$A36,Pedidos!$R$6:$R$305,$B$3,Pedidos!$K$6:$K$305,"&lt;&gt;Cancelado"))</f>
        <v>0</v>
      </c>
      <c r="E36" s="18" t="n">
        <f aca="false">IF($A36="","",SUMIFS(Pedidos!$H$6:$H$305,Pedidos!$E$6:$E$305,$A36,Pedidos!$R$6:$R$305,$B$3,Pedidos!$K$6:$K$305,"&lt;&gt;Cancelado"))</f>
        <v>0</v>
      </c>
      <c r="F36" s="19" t="n">
        <f aca="false">IF(OR($A36="",$D$18=0),"",E36/$D$18)</f>
        <v>0</v>
      </c>
    </row>
    <row r="37" customFormat="false" ht="15" hidden="false" customHeight="false" outlineLevel="0" collapsed="false">
      <c r="A37" s="15" t="str">
        <f aca="false">IF(Catálogo!C11="","",Catálogo!C11)</f>
        <v>Corona de chocolate – Entera (10–12 raciones)</v>
      </c>
      <c r="B37" s="15"/>
      <c r="C37" s="15"/>
      <c r="D37" s="29" t="n">
        <f aca="false">IF($A37="","",SUMIFS(Pedidos!$F$6:$F$305,Pedidos!$E$6:$E$305,$A37,Pedidos!$R$6:$R$305,$B$3,Pedidos!$K$6:$K$305,"&lt;&gt;Cancelado"))</f>
        <v>0</v>
      </c>
      <c r="E37" s="18" t="n">
        <f aca="false">IF($A37="","",SUMIFS(Pedidos!$H$6:$H$305,Pedidos!$E$6:$E$305,$A37,Pedidos!$R$6:$R$305,$B$3,Pedidos!$K$6:$K$305,"&lt;&gt;Cancelado"))</f>
        <v>0</v>
      </c>
      <c r="F37" s="19" t="n">
        <f aca="false">IF(OR($A37="",$D$18=0),"",E37/$D$18)</f>
        <v>0</v>
      </c>
    </row>
    <row r="38" customFormat="false" ht="15" hidden="false" customHeight="false" outlineLevel="0" collapsed="false">
      <c r="A38" s="15" t="str">
        <f aca="false">IF(Catálogo!C12="","",Catálogo!C12)</f>
        <v>Banoffee – Entera (8 raciones)</v>
      </c>
      <c r="B38" s="15"/>
      <c r="C38" s="15"/>
      <c r="D38" s="29" t="n">
        <f aca="false">IF($A38="","",SUMIFS(Pedidos!$F$6:$F$305,Pedidos!$E$6:$E$305,$A38,Pedidos!$R$6:$R$305,$B$3,Pedidos!$K$6:$K$305,"&lt;&gt;Cancelado"))</f>
        <v>0</v>
      </c>
      <c r="E38" s="18" t="n">
        <f aca="false">IF($A38="","",SUMIFS(Pedidos!$H$6:$H$305,Pedidos!$E$6:$E$305,$A38,Pedidos!$R$6:$R$305,$B$3,Pedidos!$K$6:$K$305,"&lt;&gt;Cancelado"))</f>
        <v>0</v>
      </c>
      <c r="F38" s="19" t="n">
        <f aca="false">IF(OR($A38="",$D$18=0),"",E38/$D$18)</f>
        <v>0</v>
      </c>
    </row>
    <row r="39" customFormat="false" ht="15" hidden="false" customHeight="false" outlineLevel="0" collapsed="false">
      <c r="A39" s="15" t="str">
        <f aca="false">IF(Catálogo!C13="","",Catálogo!C13)</f>
        <v>Banoffee – Porción individual</v>
      </c>
      <c r="B39" s="15"/>
      <c r="C39" s="15"/>
      <c r="D39" s="29" t="n">
        <f aca="false">IF($A39="","",SUMIFS(Pedidos!$F$6:$F$305,Pedidos!$E$6:$E$305,$A39,Pedidos!$R$6:$R$305,$B$3,Pedidos!$K$6:$K$305,"&lt;&gt;Cancelado"))</f>
        <v>0</v>
      </c>
      <c r="E39" s="18" t="n">
        <f aca="false">IF($A39="","",SUMIFS(Pedidos!$H$6:$H$305,Pedidos!$E$6:$E$305,$A39,Pedidos!$R$6:$R$305,$B$3,Pedidos!$K$6:$K$305,"&lt;&gt;Cancelado"))</f>
        <v>0</v>
      </c>
      <c r="F39" s="19" t="n">
        <f aca="false">IF(OR($A39="",$D$18=0),"",E39/$D$18)</f>
        <v>0</v>
      </c>
    </row>
    <row r="40" customFormat="false" ht="15" hidden="false" customHeight="false" outlineLevel="0" collapsed="false">
      <c r="A40" s="15" t="str">
        <f aca="false">IF(Catálogo!C14="","",Catálogo!C14)</f>
        <v>Tarta holandesa – Entera (8 raciones)</v>
      </c>
      <c r="B40" s="15"/>
      <c r="C40" s="15"/>
      <c r="D40" s="29" t="n">
        <f aca="false">IF($A40="","",SUMIFS(Pedidos!$F$6:$F$305,Pedidos!$E$6:$E$305,$A40,Pedidos!$R$6:$R$305,$B$3,Pedidos!$K$6:$K$305,"&lt;&gt;Cancelado"))</f>
        <v>0</v>
      </c>
      <c r="E40" s="18" t="n">
        <f aca="false">IF($A40="","",SUMIFS(Pedidos!$H$6:$H$305,Pedidos!$E$6:$E$305,$A40,Pedidos!$R$6:$R$305,$B$3,Pedidos!$K$6:$K$305,"&lt;&gt;Cancelado"))</f>
        <v>0</v>
      </c>
      <c r="F40" s="19" t="n">
        <f aca="false">IF(OR($A40="",$D$18=0),"",E40/$D$18)</f>
        <v>0</v>
      </c>
    </row>
    <row r="41" customFormat="false" ht="15" hidden="false" customHeight="false" outlineLevel="0" collapsed="false">
      <c r="A41" s="15" t="str">
        <f aca="false">IF(Catálogo!C15="","",Catálogo!C15)</f>
        <v>Tarta holandesa – Porción individual</v>
      </c>
      <c r="B41" s="15"/>
      <c r="C41" s="15"/>
      <c r="D41" s="29" t="n">
        <f aca="false">IF($A41="","",SUMIFS(Pedidos!$F$6:$F$305,Pedidos!$E$6:$E$305,$A41,Pedidos!$R$6:$R$305,$B$3,Pedidos!$K$6:$K$305,"&lt;&gt;Cancelado"))</f>
        <v>0</v>
      </c>
      <c r="E41" s="18" t="n">
        <f aca="false">IF($A41="","",SUMIFS(Pedidos!$H$6:$H$305,Pedidos!$E$6:$E$305,$A41,Pedidos!$R$6:$R$305,$B$3,Pedidos!$K$6:$K$305,"&lt;&gt;Cancelado"))</f>
        <v>0</v>
      </c>
      <c r="F41" s="19" t="n">
        <f aca="false">IF(OR($A41="",$D$18=0),"",E41/$D$18)</f>
        <v>0</v>
      </c>
    </row>
    <row r="42" customFormat="false" ht="15" hidden="false" customHeight="false" outlineLevel="0" collapsed="false">
      <c r="A42" s="15" t="str">
        <f aca="false">IF(Catálogo!C16="","",Catálogo!C16)</f>
        <v>Cookies con trozos – Caja de 4</v>
      </c>
      <c r="B42" s="15"/>
      <c r="C42" s="15"/>
      <c r="D42" s="29" t="n">
        <f aca="false">IF($A42="","",SUMIFS(Pedidos!$F$6:$F$305,Pedidos!$E$6:$E$305,$A42,Pedidos!$R$6:$R$305,$B$3,Pedidos!$K$6:$K$305,"&lt;&gt;Cancelado"))</f>
        <v>0</v>
      </c>
      <c r="E42" s="18" t="n">
        <f aca="false">IF($A42="","",SUMIFS(Pedidos!$H$6:$H$305,Pedidos!$E$6:$E$305,$A42,Pedidos!$R$6:$R$305,$B$3,Pedidos!$K$6:$K$305,"&lt;&gt;Cancelado"))</f>
        <v>0</v>
      </c>
      <c r="F42" s="19" t="n">
        <f aca="false">IF(OR($A42="",$D$18=0),"",E42/$D$18)</f>
        <v>0</v>
      </c>
    </row>
    <row r="43" customFormat="false" ht="15" hidden="false" customHeight="false" outlineLevel="0" collapsed="false">
      <c r="A43" s="15" t="str">
        <f aca="false">IF(Catálogo!C17="","",Catálogo!C17)</f>
        <v>Cookies con trozos – Caja de 6</v>
      </c>
      <c r="B43" s="15"/>
      <c r="C43" s="15"/>
      <c r="D43" s="29" t="n">
        <f aca="false">IF($A43="","",SUMIFS(Pedidos!$F$6:$F$305,Pedidos!$E$6:$E$305,$A43,Pedidos!$R$6:$R$305,$B$3,Pedidos!$K$6:$K$305,"&lt;&gt;Cancelado"))</f>
        <v>0</v>
      </c>
      <c r="E43" s="18" t="n">
        <f aca="false">IF($A43="","",SUMIFS(Pedidos!$H$6:$H$305,Pedidos!$E$6:$E$305,$A43,Pedidos!$R$6:$R$305,$B$3,Pedidos!$K$6:$K$305,"&lt;&gt;Cancelado"))</f>
        <v>0</v>
      </c>
      <c r="F43" s="19" t="n">
        <f aca="false">IF(OR($A43="",$D$18=0),"",E43/$D$18)</f>
        <v>0</v>
      </c>
    </row>
    <row r="44" customFormat="false" ht="15" hidden="false" customHeight="false" outlineLevel="0" collapsed="false">
      <c r="A44" s="15" t="str">
        <f aca="false">IF(Catálogo!C18="","",Catálogo!C18)</f>
        <v/>
      </c>
      <c r="B44" s="15"/>
      <c r="C44" s="15"/>
      <c r="D44" s="29" t="str">
        <f aca="false">IF($A44="","",SUMIFS(Pedidos!$F$6:$F$305,Pedidos!$E$6:$E$305,$A44,Pedidos!$R$6:$R$305,$B$3,Pedidos!$K$6:$K$305,"&lt;&gt;Cancelado"))</f>
        <v/>
      </c>
      <c r="E44" s="18" t="str">
        <f aca="false">IF($A44="","",SUMIFS(Pedidos!$H$6:$H$305,Pedidos!$E$6:$E$305,$A44,Pedidos!$R$6:$R$305,$B$3,Pedidos!$K$6:$K$305,"&lt;&gt;Cancelado"))</f>
        <v/>
      </c>
      <c r="F44" s="19" t="str">
        <f aca="false">IF(OR($A44="",$D$18=0),"",E44/$D$18)</f>
        <v/>
      </c>
    </row>
    <row r="45" customFormat="false" ht="15" hidden="false" customHeight="false" outlineLevel="0" collapsed="false">
      <c r="A45" s="15" t="str">
        <f aca="false">IF(Catálogo!C19="","",Catálogo!C19)</f>
        <v/>
      </c>
      <c r="B45" s="15"/>
      <c r="C45" s="15"/>
      <c r="D45" s="29" t="str">
        <f aca="false">IF($A45="","",SUMIFS(Pedidos!$F$6:$F$305,Pedidos!$E$6:$E$305,$A45,Pedidos!$R$6:$R$305,$B$3,Pedidos!$K$6:$K$305,"&lt;&gt;Cancelado"))</f>
        <v/>
      </c>
      <c r="E45" s="18" t="str">
        <f aca="false">IF($A45="","",SUMIFS(Pedidos!$H$6:$H$305,Pedidos!$E$6:$E$305,$A45,Pedidos!$R$6:$R$305,$B$3,Pedidos!$K$6:$K$305,"&lt;&gt;Cancelado"))</f>
        <v/>
      </c>
      <c r="F45" s="19" t="str">
        <f aca="false">IF(OR($A45="",$D$18=0),"",E45/$D$18)</f>
        <v/>
      </c>
    </row>
    <row r="46" customFormat="false" ht="15" hidden="false" customHeight="false" outlineLevel="0" collapsed="false">
      <c r="A46" s="15" t="str">
        <f aca="false">IF(Catálogo!C20="","",Catálogo!C20)</f>
        <v/>
      </c>
      <c r="B46" s="15"/>
      <c r="C46" s="15"/>
      <c r="D46" s="29" t="str">
        <f aca="false">IF($A46="","",SUMIFS(Pedidos!$F$6:$F$305,Pedidos!$E$6:$E$305,$A46,Pedidos!$R$6:$R$305,$B$3,Pedidos!$K$6:$K$305,"&lt;&gt;Cancelado"))</f>
        <v/>
      </c>
      <c r="E46" s="18" t="str">
        <f aca="false">IF($A46="","",SUMIFS(Pedidos!$H$6:$H$305,Pedidos!$E$6:$E$305,$A46,Pedidos!$R$6:$R$305,$B$3,Pedidos!$K$6:$K$305,"&lt;&gt;Cancelado"))</f>
        <v/>
      </c>
      <c r="F46" s="19" t="str">
        <f aca="false">IF(OR($A46="",$D$18=0),"",E46/$D$18)</f>
        <v/>
      </c>
    </row>
    <row r="47" customFormat="false" ht="15" hidden="false" customHeight="false" outlineLevel="0" collapsed="false">
      <c r="A47" s="15" t="str">
        <f aca="false">IF(Catálogo!C21="","",Catálogo!C21)</f>
        <v/>
      </c>
      <c r="B47" s="15"/>
      <c r="C47" s="15"/>
      <c r="D47" s="29" t="str">
        <f aca="false">IF($A47="","",SUMIFS(Pedidos!$F$6:$F$305,Pedidos!$E$6:$E$305,$A47,Pedidos!$R$6:$R$305,$B$3,Pedidos!$K$6:$K$305,"&lt;&gt;Cancelado"))</f>
        <v/>
      </c>
      <c r="E47" s="18" t="str">
        <f aca="false">IF($A47="","",SUMIFS(Pedidos!$H$6:$H$305,Pedidos!$E$6:$E$305,$A47,Pedidos!$R$6:$R$305,$B$3,Pedidos!$K$6:$K$305,"&lt;&gt;Cancelado"))</f>
        <v/>
      </c>
      <c r="F47" s="19" t="str">
        <f aca="false">IF(OR($A47="",$D$18=0),"",E47/$D$18)</f>
        <v/>
      </c>
    </row>
    <row r="48" customFormat="false" ht="15" hidden="false" customHeight="false" outlineLevel="0" collapsed="false">
      <c r="A48" s="15" t="str">
        <f aca="false">IF(Catálogo!C22="","",Catálogo!C22)</f>
        <v/>
      </c>
      <c r="B48" s="15"/>
      <c r="C48" s="15"/>
      <c r="D48" s="29" t="str">
        <f aca="false">IF($A48="","",SUMIFS(Pedidos!$F$6:$F$305,Pedidos!$E$6:$E$305,$A48,Pedidos!$R$6:$R$305,$B$3,Pedidos!$K$6:$K$305,"&lt;&gt;Cancelado"))</f>
        <v/>
      </c>
      <c r="E48" s="18" t="str">
        <f aca="false">IF($A48="","",SUMIFS(Pedidos!$H$6:$H$305,Pedidos!$E$6:$E$305,$A48,Pedidos!$R$6:$R$305,$B$3,Pedidos!$K$6:$K$305,"&lt;&gt;Cancelado"))</f>
        <v/>
      </c>
      <c r="F48" s="19" t="str">
        <f aca="false">IF(OR($A48="",$D$18=0),"",E48/$D$18)</f>
        <v/>
      </c>
    </row>
    <row r="49" customFormat="false" ht="15" hidden="false" customHeight="false" outlineLevel="0" collapsed="false">
      <c r="A49" s="15" t="str">
        <f aca="false">IF(Catálogo!C23="","",Catálogo!C23)</f>
        <v/>
      </c>
      <c r="B49" s="15"/>
      <c r="C49" s="15"/>
      <c r="D49" s="29" t="str">
        <f aca="false">IF($A49="","",SUMIFS(Pedidos!$F$6:$F$305,Pedidos!$E$6:$E$305,$A49,Pedidos!$R$6:$R$305,$B$3,Pedidos!$K$6:$K$305,"&lt;&gt;Cancelado"))</f>
        <v/>
      </c>
      <c r="E49" s="18" t="str">
        <f aca="false">IF($A49="","",SUMIFS(Pedidos!$H$6:$H$305,Pedidos!$E$6:$E$305,$A49,Pedidos!$R$6:$R$305,$B$3,Pedidos!$K$6:$K$305,"&lt;&gt;Cancelado"))</f>
        <v/>
      </c>
      <c r="F49" s="19" t="str">
        <f aca="false">IF(OR($A49="",$D$18=0),"",E49/$D$18)</f>
        <v/>
      </c>
    </row>
    <row r="50" customFormat="false" ht="15" hidden="false" customHeight="false" outlineLevel="0" collapsed="false">
      <c r="A50" s="15" t="str">
        <f aca="false">IF(Catálogo!C24="","",Catálogo!C24)</f>
        <v/>
      </c>
      <c r="B50" s="15"/>
      <c r="C50" s="15"/>
      <c r="D50" s="29" t="str">
        <f aca="false">IF($A50="","",SUMIFS(Pedidos!$F$6:$F$305,Pedidos!$E$6:$E$305,$A50,Pedidos!$R$6:$R$305,$B$3,Pedidos!$K$6:$K$305,"&lt;&gt;Cancelado"))</f>
        <v/>
      </c>
      <c r="E50" s="18" t="str">
        <f aca="false">IF($A50="","",SUMIFS(Pedidos!$H$6:$H$305,Pedidos!$E$6:$E$305,$A50,Pedidos!$R$6:$R$305,$B$3,Pedidos!$K$6:$K$305,"&lt;&gt;Cancelado"))</f>
        <v/>
      </c>
      <c r="F50" s="19" t="str">
        <f aca="false">IF(OR($A50="",$D$18=0),"",E50/$D$18)</f>
        <v/>
      </c>
    </row>
    <row r="52" customFormat="false" ht="15" hidden="false" customHeight="false" outlineLevel="0" collapsed="false">
      <c r="A52" s="25" t="s">
        <v>94</v>
      </c>
    </row>
    <row r="53" customFormat="false" ht="31.5" hidden="false" customHeight="true" outlineLevel="0" collapsed="false">
      <c r="A53" s="5" t="s">
        <v>53</v>
      </c>
      <c r="B53" s="5"/>
      <c r="C53" s="5"/>
      <c r="D53" s="5"/>
      <c r="E53" s="5" t="s">
        <v>56</v>
      </c>
      <c r="F53" s="5" t="s">
        <v>95</v>
      </c>
    </row>
    <row r="54" customFormat="false" ht="15" hidden="false" customHeight="false" outlineLevel="0" collapsed="false">
      <c r="A54" s="15" t="str">
        <f aca="false">IF(Listas!D5="","",Listas!D5)</f>
        <v>Ingredientes</v>
      </c>
      <c r="B54" s="15"/>
      <c r="C54" s="15"/>
      <c r="D54" s="15"/>
      <c r="E54" s="18" t="n">
        <f aca="false">IF($A54="","",SUMIFS(Gastos!$E$6:$E$505,Gastos!$H$6:$H$505,$B$3,Gastos!$B$6:$B$505,$A54))</f>
        <v>42.5</v>
      </c>
      <c r="F54" s="19" t="n">
        <f aca="false">IF(OR($A54="",$G$18=0),"",E54/$G$18)</f>
        <v>1</v>
      </c>
    </row>
    <row r="55" customFormat="false" ht="15" hidden="false" customHeight="false" outlineLevel="0" collapsed="false">
      <c r="A55" s="15" t="str">
        <f aca="false">IF(Listas!D6="","",Listas!D6)</f>
        <v>Envases y embalaje</v>
      </c>
      <c r="B55" s="15"/>
      <c r="C55" s="15"/>
      <c r="D55" s="15"/>
      <c r="E55" s="18" t="n">
        <f aca="false">IF($A55="","",SUMIFS(Gastos!$E$6:$E$505,Gastos!$H$6:$H$505,$B$3,Gastos!$B$6:$B$505,$A55))</f>
        <v>0</v>
      </c>
      <c r="F55" s="19" t="n">
        <f aca="false">IF(OR($A55="",$G$18=0),"",E55/$G$18)</f>
        <v>0</v>
      </c>
    </row>
    <row r="56" customFormat="false" ht="15" hidden="false" customHeight="false" outlineLevel="0" collapsed="false">
      <c r="A56" s="15" t="str">
        <f aca="false">IF(Listas!D7="","",Listas!D7)</f>
        <v>Material y utensilios</v>
      </c>
      <c r="B56" s="15"/>
      <c r="C56" s="15"/>
      <c r="D56" s="15"/>
      <c r="E56" s="18" t="n">
        <f aca="false">IF($A56="","",SUMIFS(Gastos!$E$6:$E$505,Gastos!$H$6:$H$505,$B$3,Gastos!$B$6:$B$505,$A56))</f>
        <v>0</v>
      </c>
      <c r="F56" s="19" t="n">
        <f aca="false">IF(OR($A56="",$G$18=0),"",E56/$G$18)</f>
        <v>0</v>
      </c>
    </row>
    <row r="57" customFormat="false" ht="15" hidden="false" customHeight="false" outlineLevel="0" collapsed="false">
      <c r="A57" s="15" t="str">
        <f aca="false">IF(Listas!D8="","",Listas!D8)</f>
        <v>Marketing y fotos</v>
      </c>
      <c r="B57" s="15"/>
      <c r="C57" s="15"/>
      <c r="D57" s="15"/>
      <c r="E57" s="18" t="n">
        <f aca="false">IF($A57="","",SUMIFS(Gastos!$E$6:$E$505,Gastos!$H$6:$H$505,$B$3,Gastos!$B$6:$B$505,$A57))</f>
        <v>0</v>
      </c>
      <c r="F57" s="19" t="n">
        <f aca="false">IF(OR($A57="",$G$18=0),"",E57/$G$18)</f>
        <v>0</v>
      </c>
    </row>
    <row r="58" customFormat="false" ht="15" hidden="false" customHeight="false" outlineLevel="0" collapsed="false">
      <c r="A58" s="15" t="str">
        <f aca="false">IF(Listas!D9="","",Listas!D9)</f>
        <v>Transporte y gasolina</v>
      </c>
      <c r="B58" s="15"/>
      <c r="C58" s="15"/>
      <c r="D58" s="15"/>
      <c r="E58" s="18" t="n">
        <f aca="false">IF($A58="","",SUMIFS(Gastos!$E$6:$E$505,Gastos!$H$6:$H$505,$B$3,Gastos!$B$6:$B$505,$A58))</f>
        <v>0</v>
      </c>
      <c r="F58" s="19" t="n">
        <f aca="false">IF(OR($A58="",$G$18=0),"",E58/$G$18)</f>
        <v>0</v>
      </c>
    </row>
    <row r="59" customFormat="false" ht="15" hidden="false" customHeight="false" outlineLevel="0" collapsed="false">
      <c r="A59" s="15" t="str">
        <f aca="false">IF(Listas!D10="","",Listas!D10)</f>
        <v>Comisiones y cuotas</v>
      </c>
      <c r="B59" s="15"/>
      <c r="C59" s="15"/>
      <c r="D59" s="15"/>
      <c r="E59" s="18" t="n">
        <f aca="false">IF($A59="","",SUMIFS(Gastos!$E$6:$E$505,Gastos!$H$6:$H$505,$B$3,Gastos!$B$6:$B$505,$A59))</f>
        <v>0</v>
      </c>
      <c r="F59" s="19" t="n">
        <f aca="false">IF(OR($A59="",$G$18=0),"",E59/$G$18)</f>
        <v>0</v>
      </c>
    </row>
    <row r="60" customFormat="false" ht="15" hidden="false" customHeight="false" outlineLevel="0" collapsed="false">
      <c r="A60" s="15" t="str">
        <f aca="false">IF(Listas!D11="","",Listas!D11)</f>
        <v>Impuestos y autónomos</v>
      </c>
      <c r="B60" s="15"/>
      <c r="C60" s="15"/>
      <c r="D60" s="15"/>
      <c r="E60" s="18" t="n">
        <f aca="false">IF($A60="","",SUMIFS(Gastos!$E$6:$E$505,Gastos!$H$6:$H$505,$B$3,Gastos!$B$6:$B$505,$A60))</f>
        <v>0</v>
      </c>
      <c r="F60" s="19" t="n">
        <f aca="false">IF(OR($A60="",$G$18=0),"",E60/$G$18)</f>
        <v>0</v>
      </c>
    </row>
    <row r="61" customFormat="false" ht="15" hidden="false" customHeight="false" outlineLevel="0" collapsed="false">
      <c r="A61" s="15" t="str">
        <f aca="false">IF(Listas!D12="","",Listas!D12)</f>
        <v>Otros</v>
      </c>
      <c r="B61" s="15"/>
      <c r="C61" s="15"/>
      <c r="D61" s="15"/>
      <c r="E61" s="18" t="n">
        <f aca="false">IF($A61="","",SUMIFS(Gastos!$E$6:$E$505,Gastos!$H$6:$H$505,$B$3,Gastos!$B$6:$B$505,$A61))</f>
        <v>0</v>
      </c>
      <c r="F61" s="19" t="n">
        <f aca="false">IF(OR($A61="",$G$18=0),"",E61/$G$18)</f>
        <v>0</v>
      </c>
    </row>
    <row r="62" customFormat="false" ht="15" hidden="false" customHeight="false" outlineLevel="0" collapsed="false">
      <c r="A62" s="15" t="str">
        <f aca="false">IF(Listas!D13="","",Listas!D13)</f>
        <v/>
      </c>
      <c r="B62" s="15"/>
      <c r="C62" s="15"/>
      <c r="D62" s="15"/>
      <c r="E62" s="18" t="str">
        <f aca="false">IF($A62="","",SUMIFS(Gastos!$E$6:$E$505,Gastos!$H$6:$H$505,$B$3,Gastos!$B$6:$B$505,$A62))</f>
        <v/>
      </c>
      <c r="F62" s="19" t="str">
        <f aca="false">IF(OR($A62="",$G$18=0),"",E62/$G$18)</f>
        <v/>
      </c>
    </row>
    <row r="63" customFormat="false" ht="15" hidden="false" customHeight="false" outlineLevel="0" collapsed="false">
      <c r="A63" s="15" t="str">
        <f aca="false">IF(Listas!D14="","",Listas!D14)</f>
        <v/>
      </c>
      <c r="B63" s="15"/>
      <c r="C63" s="15"/>
      <c r="D63" s="15"/>
      <c r="E63" s="18" t="str">
        <f aca="false">IF($A63="","",SUMIFS(Gastos!$E$6:$E$505,Gastos!$H$6:$H$505,$B$3,Gastos!$B$6:$B$505,$A63))</f>
        <v/>
      </c>
      <c r="F63" s="19" t="str">
        <f aca="false">IF(OR($A63="",$G$18=0),"",E63/$G$18)</f>
        <v/>
      </c>
    </row>
    <row r="64" customFormat="false" ht="15" hidden="false" customHeight="false" outlineLevel="0" collapsed="false">
      <c r="A64" s="15" t="s">
        <v>96</v>
      </c>
      <c r="B64" s="15"/>
      <c r="C64" s="15"/>
      <c r="D64" s="15"/>
      <c r="E64" s="18" t="n">
        <f aca="false">G18-SUM(E54:E63)</f>
        <v>0</v>
      </c>
      <c r="F64" s="15"/>
    </row>
  </sheetData>
  <mergeCells count="40">
    <mergeCell ref="A21:C21"/>
    <mergeCell ref="A22:C22"/>
    <mergeCell ref="A23:C23"/>
    <mergeCell ref="A24:C24"/>
    <mergeCell ref="A25:C25"/>
    <mergeCell ref="A26:C26"/>
    <mergeCell ref="A27:C27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4" t="s">
        <v>98</v>
      </c>
    </row>
    <row r="4" customFormat="false" ht="31.5" hidden="false" customHeight="true" outlineLevel="0" collapsed="false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I4" s="14" t="s">
        <v>106</v>
      </c>
    </row>
    <row r="5" customFormat="false" ht="15" hidden="false" customHeight="false" outlineLevel="0" collapsed="false">
      <c r="A5" s="8" t="s">
        <v>107</v>
      </c>
      <c r="B5" s="8" t="s">
        <v>108</v>
      </c>
      <c r="C5" s="6" t="str">
        <f aca="false">IF(A5="","",A5&amp;" – "&amp;B5)</f>
        <v>Tarta de queso y pistacho – Pequeña (6–8 raciones)</v>
      </c>
      <c r="D5" s="11" t="n">
        <v>24</v>
      </c>
      <c r="E5" s="11"/>
      <c r="F5" s="10" t="str">
        <f aca="false">IF(OR(D5="",E5=""),"",D5-E5)</f>
        <v/>
      </c>
      <c r="G5" s="30" t="str">
        <f aca="false">IF(OR(D5="",E5="",D5=0),"",F5/D5)</f>
        <v/>
      </c>
    </row>
    <row r="6" customFormat="false" ht="15" hidden="false" customHeight="false" outlineLevel="0" collapsed="false">
      <c r="A6" s="8" t="s">
        <v>107</v>
      </c>
      <c r="B6" s="8" t="s">
        <v>109</v>
      </c>
      <c r="C6" s="6" t="str">
        <f aca="false">IF(A6="","",A6&amp;" – "&amp;B6)</f>
        <v>Tarta de queso y pistacho – Grande (10–12 raciones)</v>
      </c>
      <c r="D6" s="11" t="n">
        <v>34</v>
      </c>
      <c r="E6" s="11"/>
      <c r="F6" s="10" t="str">
        <f aca="false">IF(OR(D6="",E6=""),"",D6-E6)</f>
        <v/>
      </c>
      <c r="G6" s="30" t="str">
        <f aca="false">IF(OR(D6="",E6="",D6=0),"",F6/D6)</f>
        <v/>
      </c>
    </row>
    <row r="7" customFormat="false" ht="15" hidden="false" customHeight="false" outlineLevel="0" collapsed="false">
      <c r="A7" s="8" t="s">
        <v>110</v>
      </c>
      <c r="B7" s="8" t="s">
        <v>108</v>
      </c>
      <c r="C7" s="6" t="str">
        <f aca="false">IF(A7="","",A7&amp;" – "&amp;B7)</f>
        <v>Tarta de queso al horno – Pequeña (6–8 raciones)</v>
      </c>
      <c r="D7" s="11" t="n">
        <v>20</v>
      </c>
      <c r="E7" s="11"/>
      <c r="F7" s="10" t="str">
        <f aca="false">IF(OR(D7="",E7=""),"",D7-E7)</f>
        <v/>
      </c>
      <c r="G7" s="30" t="str">
        <f aca="false">IF(OR(D7="",E7="",D7=0),"",F7/D7)</f>
        <v/>
      </c>
    </row>
    <row r="8" customFormat="false" ht="15" hidden="false" customHeight="false" outlineLevel="0" collapsed="false">
      <c r="A8" s="8" t="s">
        <v>110</v>
      </c>
      <c r="B8" s="8" t="s">
        <v>109</v>
      </c>
      <c r="C8" s="6" t="str">
        <f aca="false">IF(A8="","",A8&amp;" – "&amp;B8)</f>
        <v>Tarta de queso al horno – Grande (10–12 raciones)</v>
      </c>
      <c r="D8" s="11" t="n">
        <v>30</v>
      </c>
      <c r="E8" s="11"/>
      <c r="F8" s="10" t="str">
        <f aca="false">IF(OR(D8="",E8=""),"",D8-E8)</f>
        <v/>
      </c>
      <c r="G8" s="30" t="str">
        <f aca="false">IF(OR(D8="",E8="",D8=0),"",F8/D8)</f>
        <v/>
      </c>
    </row>
    <row r="9" customFormat="false" ht="15" hidden="false" customHeight="false" outlineLevel="0" collapsed="false">
      <c r="A9" s="8" t="s">
        <v>111</v>
      </c>
      <c r="B9" s="8" t="s">
        <v>108</v>
      </c>
      <c r="C9" s="6" t="str">
        <f aca="false">IF(A9="","",A9&amp;" – "&amp;B9)</f>
        <v>Tarta de chocolate – Pequeña (6–8 raciones)</v>
      </c>
      <c r="D9" s="11" t="n">
        <v>22</v>
      </c>
      <c r="E9" s="11"/>
      <c r="F9" s="10" t="str">
        <f aca="false">IF(OR(D9="",E9=""),"",D9-E9)</f>
        <v/>
      </c>
      <c r="G9" s="30" t="str">
        <f aca="false">IF(OR(D9="",E9="",D9=0),"",F9/D9)</f>
        <v/>
      </c>
    </row>
    <row r="10" customFormat="false" ht="15" hidden="false" customHeight="false" outlineLevel="0" collapsed="false">
      <c r="A10" s="8" t="s">
        <v>111</v>
      </c>
      <c r="B10" s="8" t="s">
        <v>109</v>
      </c>
      <c r="C10" s="6" t="str">
        <f aca="false">IF(A10="","",A10&amp;" – "&amp;B10)</f>
        <v>Tarta de chocolate – Grande (10–12 raciones)</v>
      </c>
      <c r="D10" s="11" t="n">
        <v>32</v>
      </c>
      <c r="E10" s="11"/>
      <c r="F10" s="10" t="str">
        <f aca="false">IF(OR(D10="",E10=""),"",D10-E10)</f>
        <v/>
      </c>
      <c r="G10" s="30" t="str">
        <f aca="false">IF(OR(D10="",E10="",D10=0),"",F10/D10)</f>
        <v/>
      </c>
    </row>
    <row r="11" customFormat="false" ht="15" hidden="false" customHeight="false" outlineLevel="0" collapsed="false">
      <c r="A11" s="8" t="s">
        <v>112</v>
      </c>
      <c r="B11" s="8" t="s">
        <v>113</v>
      </c>
      <c r="C11" s="6" t="str">
        <f aca="false">IF(A11="","",A11&amp;" – "&amp;B11)</f>
        <v>Corona de chocolate – Entera (10–12 raciones)</v>
      </c>
      <c r="D11" s="11" t="n">
        <v>22</v>
      </c>
      <c r="E11" s="11"/>
      <c r="F11" s="10" t="str">
        <f aca="false">IF(OR(D11="",E11=""),"",D11-E11)</f>
        <v/>
      </c>
      <c r="G11" s="30" t="str">
        <f aca="false">IF(OR(D11="",E11="",D11=0),"",F11/D11)</f>
        <v/>
      </c>
    </row>
    <row r="12" customFormat="false" ht="15" hidden="false" customHeight="false" outlineLevel="0" collapsed="false">
      <c r="A12" s="8" t="s">
        <v>114</v>
      </c>
      <c r="B12" s="8" t="s">
        <v>115</v>
      </c>
      <c r="C12" s="6" t="str">
        <f aca="false">IF(A12="","",A12&amp;" – "&amp;B12)</f>
        <v>Banoffee – Entera (8 raciones)</v>
      </c>
      <c r="D12" s="11" t="n">
        <v>26</v>
      </c>
      <c r="E12" s="11"/>
      <c r="F12" s="10" t="str">
        <f aca="false">IF(OR(D12="",E12=""),"",D12-E12)</f>
        <v/>
      </c>
      <c r="G12" s="30" t="str">
        <f aca="false">IF(OR(D12="",E12="",D12=0),"",F12/D12)</f>
        <v/>
      </c>
    </row>
    <row r="13" customFormat="false" ht="15" hidden="false" customHeight="false" outlineLevel="0" collapsed="false">
      <c r="A13" s="8" t="s">
        <v>114</v>
      </c>
      <c r="B13" s="8" t="s">
        <v>116</v>
      </c>
      <c r="C13" s="6" t="str">
        <f aca="false">IF(A13="","",A13&amp;" – "&amp;B13)</f>
        <v>Banoffee – Porción individual</v>
      </c>
      <c r="D13" s="11" t="n">
        <v>4</v>
      </c>
      <c r="E13" s="11"/>
      <c r="F13" s="10" t="str">
        <f aca="false">IF(OR(D13="",E13=""),"",D13-E13)</f>
        <v/>
      </c>
      <c r="G13" s="30" t="str">
        <f aca="false">IF(OR(D13="",E13="",D13=0),"",F13/D13)</f>
        <v/>
      </c>
    </row>
    <row r="14" customFormat="false" ht="15" hidden="false" customHeight="false" outlineLevel="0" collapsed="false">
      <c r="A14" s="8" t="s">
        <v>117</v>
      </c>
      <c r="B14" s="8" t="s">
        <v>115</v>
      </c>
      <c r="C14" s="6" t="str">
        <f aca="false">IF(A14="","",A14&amp;" – "&amp;B14)</f>
        <v>Tarta holandesa – Entera (8 raciones)</v>
      </c>
      <c r="D14" s="11" t="n">
        <v>26</v>
      </c>
      <c r="E14" s="11"/>
      <c r="F14" s="10" t="str">
        <f aca="false">IF(OR(D14="",E14=""),"",D14-E14)</f>
        <v/>
      </c>
      <c r="G14" s="30" t="str">
        <f aca="false">IF(OR(D14="",E14="",D14=0),"",F14/D14)</f>
        <v/>
      </c>
    </row>
    <row r="15" customFormat="false" ht="15" hidden="false" customHeight="false" outlineLevel="0" collapsed="false">
      <c r="A15" s="8" t="s">
        <v>117</v>
      </c>
      <c r="B15" s="8" t="s">
        <v>116</v>
      </c>
      <c r="C15" s="6" t="str">
        <f aca="false">IF(A15="","",A15&amp;" – "&amp;B15)</f>
        <v>Tarta holandesa – Porción individual</v>
      </c>
      <c r="D15" s="11" t="n">
        <v>4</v>
      </c>
      <c r="E15" s="11"/>
      <c r="F15" s="10" t="str">
        <f aca="false">IF(OR(D15="",E15=""),"",D15-E15)</f>
        <v/>
      </c>
      <c r="G15" s="30" t="str">
        <f aca="false">IF(OR(D15="",E15="",D15=0),"",F15/D15)</f>
        <v/>
      </c>
    </row>
    <row r="16" customFormat="false" ht="15" hidden="false" customHeight="false" outlineLevel="0" collapsed="false">
      <c r="A16" s="8" t="s">
        <v>118</v>
      </c>
      <c r="B16" s="8" t="s">
        <v>119</v>
      </c>
      <c r="C16" s="6" t="str">
        <f aca="false">IF(A16="","",A16&amp;" – "&amp;B16)</f>
        <v>Cookies con trozos – Caja de 4</v>
      </c>
      <c r="D16" s="11" t="n">
        <v>10</v>
      </c>
      <c r="E16" s="11"/>
      <c r="F16" s="10" t="str">
        <f aca="false">IF(OR(D16="",E16=""),"",D16-E16)</f>
        <v/>
      </c>
      <c r="G16" s="30" t="str">
        <f aca="false">IF(OR(D16="",E16="",D16=0),"",F16/D16)</f>
        <v/>
      </c>
    </row>
    <row r="17" customFormat="false" ht="15" hidden="false" customHeight="false" outlineLevel="0" collapsed="false">
      <c r="A17" s="8" t="s">
        <v>118</v>
      </c>
      <c r="B17" s="8" t="s">
        <v>120</v>
      </c>
      <c r="C17" s="6" t="str">
        <f aca="false">IF(A17="","",A17&amp;" – "&amp;B17)</f>
        <v>Cookies con trozos – Caja de 6</v>
      </c>
      <c r="D17" s="11" t="n">
        <v>14</v>
      </c>
      <c r="E17" s="11"/>
      <c r="F17" s="10" t="str">
        <f aca="false">IF(OR(D17="",E17=""),"",D17-E17)</f>
        <v/>
      </c>
      <c r="G17" s="30" t="str">
        <f aca="false">IF(OR(D17="",E17="",D17=0),"",F17/D17)</f>
        <v/>
      </c>
    </row>
    <row r="18" customFormat="false" ht="15" hidden="false" customHeight="false" outlineLevel="0" collapsed="false">
      <c r="A18" s="8"/>
      <c r="B18" s="8"/>
      <c r="C18" s="6" t="str">
        <f aca="false">IF(A18="","",A18&amp;" – "&amp;B18)</f>
        <v/>
      </c>
      <c r="D18" s="11"/>
      <c r="E18" s="11"/>
      <c r="F18" s="10" t="str">
        <f aca="false">IF(OR(D18="",E18=""),"",D18-E18)</f>
        <v/>
      </c>
      <c r="G18" s="30" t="str">
        <f aca="false">IF(OR(D18="",E18="",D18=0),"",F18/D18)</f>
        <v/>
      </c>
    </row>
    <row r="19" customFormat="false" ht="15" hidden="false" customHeight="false" outlineLevel="0" collapsed="false">
      <c r="A19" s="8"/>
      <c r="B19" s="8"/>
      <c r="C19" s="6" t="str">
        <f aca="false">IF(A19="","",A19&amp;" – "&amp;B19)</f>
        <v/>
      </c>
      <c r="D19" s="11"/>
      <c r="E19" s="11"/>
      <c r="F19" s="10" t="str">
        <f aca="false">IF(OR(D19="",E19=""),"",D19-E19)</f>
        <v/>
      </c>
      <c r="G19" s="30" t="str">
        <f aca="false">IF(OR(D19="",E19="",D19=0),"",F19/D19)</f>
        <v/>
      </c>
    </row>
    <row r="20" customFormat="false" ht="15" hidden="false" customHeight="false" outlineLevel="0" collapsed="false">
      <c r="A20" s="8"/>
      <c r="B20" s="8"/>
      <c r="C20" s="6" t="str">
        <f aca="false">IF(A20="","",A20&amp;" – "&amp;B20)</f>
        <v/>
      </c>
      <c r="D20" s="11"/>
      <c r="E20" s="11"/>
      <c r="F20" s="10" t="str">
        <f aca="false">IF(OR(D20="",E20=""),"",D20-E20)</f>
        <v/>
      </c>
      <c r="G20" s="30" t="str">
        <f aca="false">IF(OR(D20="",E20="",D20=0),"",F20/D20)</f>
        <v/>
      </c>
    </row>
    <row r="21" customFormat="false" ht="15" hidden="false" customHeight="false" outlineLevel="0" collapsed="false">
      <c r="A21" s="8"/>
      <c r="B21" s="8"/>
      <c r="C21" s="6" t="str">
        <f aca="false">IF(A21="","",A21&amp;" – "&amp;B21)</f>
        <v/>
      </c>
      <c r="D21" s="11"/>
      <c r="E21" s="11"/>
      <c r="F21" s="10" t="str">
        <f aca="false">IF(OR(D21="",E21=""),"",D21-E21)</f>
        <v/>
      </c>
      <c r="G21" s="30" t="str">
        <f aca="false">IF(OR(D21="",E21="",D21=0),"",F21/D21)</f>
        <v/>
      </c>
    </row>
    <row r="22" customFormat="false" ht="15" hidden="false" customHeight="false" outlineLevel="0" collapsed="false">
      <c r="A22" s="8"/>
      <c r="B22" s="8"/>
      <c r="C22" s="6" t="str">
        <f aca="false">IF(A22="","",A22&amp;" – "&amp;B22)</f>
        <v/>
      </c>
      <c r="D22" s="11"/>
      <c r="E22" s="11"/>
      <c r="F22" s="10" t="str">
        <f aca="false">IF(OR(D22="",E22=""),"",D22-E22)</f>
        <v/>
      </c>
      <c r="G22" s="30" t="str">
        <f aca="false">IF(OR(D22="",E22="",D22=0),"",F22/D22)</f>
        <v/>
      </c>
    </row>
    <row r="23" customFormat="false" ht="15" hidden="false" customHeight="false" outlineLevel="0" collapsed="false">
      <c r="A23" s="8"/>
      <c r="B23" s="8"/>
      <c r="C23" s="6" t="str">
        <f aca="false">IF(A23="","",A23&amp;" – "&amp;B23)</f>
        <v/>
      </c>
      <c r="D23" s="11"/>
      <c r="E23" s="11"/>
      <c r="F23" s="10" t="str">
        <f aca="false">IF(OR(D23="",E23=""),"",D23-E23)</f>
        <v/>
      </c>
      <c r="G23" s="30" t="str">
        <f aca="false">IF(OR(D23="",E23="",D23=0),"",F23/D23)</f>
        <v/>
      </c>
    </row>
    <row r="24" customFormat="false" ht="15" hidden="false" customHeight="false" outlineLevel="0" collapsed="false">
      <c r="A24" s="8"/>
      <c r="B24" s="8"/>
      <c r="C24" s="6" t="str">
        <f aca="false">IF(A24="","",A24&amp;" – "&amp;B24)</f>
        <v/>
      </c>
      <c r="D24" s="11"/>
      <c r="E24" s="11"/>
      <c r="F24" s="10" t="str">
        <f aca="false">IF(OR(D24="",E24=""),"",D24-E24)</f>
        <v/>
      </c>
      <c r="G24" s="30" t="str">
        <f aca="false">IF(OR(D24="",E24="",D24=0),"",F24/D24)</f>
        <v/>
      </c>
    </row>
    <row r="25" customFormat="false" ht="15" hidden="false" customHeight="false" outlineLevel="0" collapsed="false">
      <c r="A25" s="8"/>
      <c r="B25" s="8"/>
      <c r="C25" s="6" t="str">
        <f aca="false">IF(A25="","",A25&amp;" – "&amp;B25)</f>
        <v/>
      </c>
      <c r="D25" s="11"/>
      <c r="E25" s="11"/>
      <c r="F25" s="10" t="str">
        <f aca="false">IF(OR(D25="",E25=""),"",D25-E25)</f>
        <v/>
      </c>
      <c r="G25" s="30" t="str">
        <f aca="false">IF(OR(D25="",E25="",D25=0),"",F25/D25)</f>
        <v/>
      </c>
    </row>
    <row r="26" customFormat="false" ht="15" hidden="false" customHeight="false" outlineLevel="0" collapsed="false">
      <c r="A26" s="8"/>
      <c r="B26" s="8"/>
      <c r="C26" s="6" t="str">
        <f aca="false">IF(A26="","",A26&amp;" – "&amp;B26)</f>
        <v/>
      </c>
      <c r="D26" s="11"/>
      <c r="E26" s="11"/>
      <c r="F26" s="10" t="str">
        <f aca="false">IF(OR(D26="",E26=""),"",D26-E26)</f>
        <v/>
      </c>
      <c r="G26" s="30" t="str">
        <f aca="false">IF(OR(D26="",E26="",D26=0),"",F26/D26)</f>
        <v/>
      </c>
    </row>
    <row r="27" customFormat="false" ht="15" hidden="false" customHeight="false" outlineLevel="0" collapsed="false">
      <c r="A27" s="8"/>
      <c r="B27" s="8"/>
      <c r="C27" s="6" t="str">
        <f aca="false">IF(A27="","",A27&amp;" – "&amp;B27)</f>
        <v/>
      </c>
      <c r="D27" s="11"/>
      <c r="E27" s="11"/>
      <c r="F27" s="10" t="str">
        <f aca="false">IF(OR(D27="",E27=""),"",D27-E27)</f>
        <v/>
      </c>
      <c r="G27" s="30" t="str">
        <f aca="false">IF(OR(D27="",E27="",D27=0),"",F27/D27)</f>
        <v/>
      </c>
    </row>
    <row r="28" customFormat="false" ht="15" hidden="false" customHeight="false" outlineLevel="0" collapsed="false">
      <c r="A28" s="8"/>
      <c r="B28" s="8"/>
      <c r="C28" s="6" t="str">
        <f aca="false">IF(A28="","",A28&amp;" – "&amp;B28)</f>
        <v/>
      </c>
      <c r="D28" s="11"/>
      <c r="E28" s="11"/>
      <c r="F28" s="10" t="str">
        <f aca="false">IF(OR(D28="",E28=""),"",D28-E28)</f>
        <v/>
      </c>
      <c r="G28" s="30" t="str">
        <f aca="false">IF(OR(D28="",E28="",D28=0),"",F28/D28)</f>
        <v/>
      </c>
    </row>
    <row r="29" customFormat="false" ht="15" hidden="false" customHeight="false" outlineLevel="0" collapsed="false">
      <c r="A29" s="8"/>
      <c r="B29" s="8"/>
      <c r="C29" s="6" t="str">
        <f aca="false">IF(A29="","",A29&amp;" – "&amp;B29)</f>
        <v/>
      </c>
      <c r="D29" s="11"/>
      <c r="E29" s="11"/>
      <c r="F29" s="10" t="str">
        <f aca="false">IF(OR(D29="",E29=""),"",D29-E29)</f>
        <v/>
      </c>
      <c r="G29" s="30" t="str">
        <f aca="false">IF(OR(D29="",E29="",D29=0),"",F29/D29)</f>
        <v/>
      </c>
    </row>
    <row r="30" customFormat="false" ht="15" hidden="false" customHeight="false" outlineLevel="0" collapsed="false">
      <c r="A30" s="8"/>
      <c r="B30" s="8"/>
      <c r="C30" s="6" t="str">
        <f aca="false">IF(A30="","",A30&amp;" – "&amp;B30)</f>
        <v/>
      </c>
      <c r="D30" s="11"/>
      <c r="E30" s="11"/>
      <c r="F30" s="10" t="str">
        <f aca="false">IF(OR(D30="",E30=""),"",D30-E30)</f>
        <v/>
      </c>
      <c r="G30" s="30" t="str">
        <f aca="false">IF(OR(D30="",E30="",D30=0),"",F30/D30)</f>
        <v/>
      </c>
    </row>
    <row r="31" customFormat="false" ht="15" hidden="false" customHeight="false" outlineLevel="0" collapsed="false">
      <c r="A31" s="8"/>
      <c r="B31" s="8"/>
      <c r="C31" s="6" t="str">
        <f aca="false">IF(A31="","",A31&amp;" – "&amp;B31)</f>
        <v/>
      </c>
      <c r="D31" s="11"/>
      <c r="E31" s="11"/>
      <c r="F31" s="10" t="str">
        <f aca="false">IF(OR(D31="",E31=""),"",D31-E31)</f>
        <v/>
      </c>
      <c r="G31" s="30" t="str">
        <f aca="false">IF(OR(D31="",E31="",D31=0),"",F31/D31)</f>
        <v/>
      </c>
    </row>
    <row r="32" customFormat="false" ht="15" hidden="false" customHeight="false" outlineLevel="0" collapsed="false">
      <c r="A32" s="8"/>
      <c r="B32" s="8"/>
      <c r="C32" s="6" t="str">
        <f aca="false">IF(A32="","",A32&amp;" – "&amp;B32)</f>
        <v/>
      </c>
      <c r="D32" s="11"/>
      <c r="E32" s="11"/>
      <c r="F32" s="10" t="str">
        <f aca="false">IF(OR(D32="",E32=""),"",D32-E32)</f>
        <v/>
      </c>
      <c r="G32" s="30" t="str">
        <f aca="false">IF(OR(D32="",E32="",D32=0),"",F32/D32)</f>
        <v/>
      </c>
    </row>
    <row r="33" customFormat="false" ht="15" hidden="false" customHeight="false" outlineLevel="0" collapsed="false">
      <c r="A33" s="8"/>
      <c r="B33" s="8"/>
      <c r="C33" s="6" t="str">
        <f aca="false">IF(A33="","",A33&amp;" – "&amp;B33)</f>
        <v/>
      </c>
      <c r="D33" s="11"/>
      <c r="E33" s="11"/>
      <c r="F33" s="10" t="str">
        <f aca="false">IF(OR(D33="",E33=""),"",D33-E33)</f>
        <v/>
      </c>
      <c r="G33" s="30" t="str">
        <f aca="false">IF(OR(D33="",E33="",D33=0),"",F33/D33)</f>
        <v/>
      </c>
    </row>
    <row r="34" customFormat="false" ht="15" hidden="false" customHeight="false" outlineLevel="0" collapsed="false">
      <c r="A34" s="8"/>
      <c r="B34" s="8"/>
      <c r="C34" s="6" t="str">
        <f aca="false">IF(A34="","",A34&amp;" – "&amp;B34)</f>
        <v/>
      </c>
      <c r="D34" s="11"/>
      <c r="E34" s="11"/>
      <c r="F34" s="10" t="str">
        <f aca="false">IF(OR(D34="",E34=""),"",D34-E34)</f>
        <v/>
      </c>
      <c r="G34" s="30" t="str">
        <f aca="false">IF(OR(D34="",E34="",D34=0),"",F34/D34)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4" t="s">
        <v>122</v>
      </c>
    </row>
    <row r="4" customFormat="false" ht="15" hidden="false" customHeight="false" outlineLevel="0" collapsed="false">
      <c r="A4" s="31" t="s">
        <v>123</v>
      </c>
      <c r="B4" s="31" t="s">
        <v>35</v>
      </c>
      <c r="C4" s="31" t="s">
        <v>32</v>
      </c>
      <c r="D4" s="31" t="s">
        <v>124</v>
      </c>
    </row>
    <row r="5" customFormat="false" ht="15" hidden="false" customHeight="false" outlineLevel="0" collapsed="false">
      <c r="A5" s="32" t="s">
        <v>125</v>
      </c>
      <c r="B5" s="32" t="s">
        <v>60</v>
      </c>
      <c r="C5" s="32" t="s">
        <v>46</v>
      </c>
      <c r="D5" s="32" t="s">
        <v>57</v>
      </c>
    </row>
    <row r="6" customFormat="false" ht="15" hidden="false" customHeight="false" outlineLevel="0" collapsed="false">
      <c r="A6" s="32" t="s">
        <v>47</v>
      </c>
      <c r="B6" s="32" t="s">
        <v>48</v>
      </c>
      <c r="C6" s="32" t="s">
        <v>126</v>
      </c>
      <c r="D6" s="32" t="s">
        <v>127</v>
      </c>
    </row>
    <row r="7" customFormat="false" ht="15" hidden="false" customHeight="false" outlineLevel="0" collapsed="false">
      <c r="A7" s="32" t="s">
        <v>128</v>
      </c>
      <c r="B7" s="32" t="s">
        <v>129</v>
      </c>
      <c r="D7" s="32" t="s">
        <v>130</v>
      </c>
    </row>
    <row r="8" customFormat="false" ht="15" hidden="false" customHeight="false" outlineLevel="0" collapsed="false">
      <c r="A8" s="32" t="s">
        <v>131</v>
      </c>
      <c r="D8" s="32" t="s">
        <v>132</v>
      </c>
    </row>
    <row r="9" customFormat="false" ht="15" hidden="false" customHeight="false" outlineLevel="0" collapsed="false">
      <c r="A9" s="32" t="s">
        <v>133</v>
      </c>
      <c r="D9" s="32" t="s">
        <v>134</v>
      </c>
    </row>
    <row r="10" customFormat="false" ht="15" hidden="false" customHeight="false" outlineLevel="0" collapsed="false">
      <c r="A10" s="32" t="s">
        <v>135</v>
      </c>
      <c r="D10" s="32" t="s">
        <v>136</v>
      </c>
    </row>
    <row r="11" customFormat="false" ht="15" hidden="false" customHeight="false" outlineLevel="0" collapsed="false">
      <c r="D11" s="32" t="s">
        <v>137</v>
      </c>
    </row>
    <row r="12" customFormat="false" ht="15" hidden="false" customHeight="false" outlineLevel="0" collapsed="false">
      <c r="D12" s="3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2026-10-13T19:56:41Z</dcterms:created>
  <dc:creator>openpyxl</dc:creator>
  <dc:description/>
  <dc:language>en-US</dc:language>
  <cp:lastModifiedBy/>
  <dcterms:modified xsi:type="dcterms:W3CDTF">2026-10-13T19:56:46Z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